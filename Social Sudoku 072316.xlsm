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Sudoku Helper\"/>
    </mc:Choice>
  </mc:AlternateContent>
  <xr:revisionPtr revIDLastSave="0" documentId="13_ncr:1_{CECA28C9-6AE8-4741-A4D2-8C2208AEA06A}" xr6:coauthVersionLast="43" xr6:coauthVersionMax="43" xr10:uidLastSave="{00000000-0000-0000-0000-000000000000}"/>
  <bookViews>
    <workbookView xWindow="-28920" yWindow="-90" windowWidth="29040" windowHeight="16440" tabRatio="373" activeTab="1" xr2:uid="{00000000-000D-0000-FFFF-FFFF00000000}"/>
  </bookViews>
  <sheets>
    <sheet name="How to Use Sudoku Helper" sheetId="10" r:id="rId1"/>
    <sheet name="Sudoku" sheetId="7" r:id="rId2"/>
    <sheet name="Sample sheets" sheetId="8" r:id="rId3"/>
    <sheet name="notes" sheetId="9" r:id="rId4"/>
    <sheet name="tests" sheetId="11" r:id="rId5"/>
  </sheets>
  <functionGroups builtInGroupCount="19"/>
  <definedNames>
    <definedName name="Available">Sudoku!$M$7</definedName>
    <definedName name="ExamCellAdr">Sudoku!$C$45</definedName>
    <definedName name="MaybeGrid">Sudoku!$N$11:$R$20</definedName>
    <definedName name="StoreGrid">#REF!</definedName>
    <definedName name="VisualColNum">Sudoku!$N$4</definedName>
    <definedName name="VisualRowNum">Sudoku!$O$4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" i="7" l="1"/>
  <c r="D30" i="7" l="1"/>
  <c r="I14" i="7" l="1"/>
  <c r="C26" i="7" l="1"/>
  <c r="C27" i="7" s="1"/>
  <c r="D26" i="7"/>
  <c r="D27" i="7" s="1"/>
  <c r="E26" i="7"/>
  <c r="E27" i="7" s="1"/>
  <c r="F26" i="7"/>
  <c r="F27" i="7" s="1"/>
  <c r="G26" i="7"/>
  <c r="H26" i="7"/>
  <c r="H27" i="7" s="1"/>
  <c r="I26" i="7"/>
  <c r="I27" i="7" s="1"/>
  <c r="J26" i="7"/>
  <c r="B26" i="7"/>
  <c r="B27" i="7" s="1"/>
  <c r="J27" i="7" l="1"/>
  <c r="K44" i="7"/>
  <c r="H44" i="7"/>
  <c r="G27" i="7"/>
  <c r="K27" i="7"/>
  <c r="C43" i="7"/>
  <c r="E43" i="7" l="1"/>
  <c r="D43" i="7"/>
  <c r="AN35" i="7" s="1"/>
  <c r="C45" i="7" l="1"/>
  <c r="E45" i="7"/>
  <c r="P9" i="7" l="1"/>
  <c r="D48" i="7"/>
  <c r="O12" i="7"/>
  <c r="K25" i="7" l="1"/>
  <c r="K24" i="7"/>
  <c r="L24" i="7" s="1"/>
  <c r="K23" i="7"/>
  <c r="L23" i="7" s="1"/>
  <c r="K22" i="7"/>
  <c r="L22" i="7" s="1"/>
  <c r="D32" i="7"/>
  <c r="H32" i="7" s="1"/>
  <c r="C32" i="7"/>
  <c r="G32" i="7" s="1"/>
  <c r="B32" i="7"/>
  <c r="F32" i="7" s="1"/>
  <c r="K21" i="7"/>
  <c r="L21" i="7" s="1"/>
  <c r="R51" i="7"/>
  <c r="D31" i="7"/>
  <c r="H31" i="7" s="1"/>
  <c r="C31" i="7"/>
  <c r="G31" i="7" s="1"/>
  <c r="B31" i="7"/>
  <c r="F31" i="7" s="1"/>
  <c r="K20" i="7"/>
  <c r="L20" i="7" s="1"/>
  <c r="R50" i="7"/>
  <c r="H30" i="7"/>
  <c r="C30" i="7"/>
  <c r="G30" i="7" s="1"/>
  <c r="B30" i="7"/>
  <c r="F30" i="7" s="1"/>
  <c r="K19" i="7"/>
  <c r="L19" i="7" s="1"/>
  <c r="K18" i="7"/>
  <c r="L18" i="7" s="1"/>
  <c r="K17" i="7"/>
  <c r="F48" i="7"/>
  <c r="I48" i="7" s="1"/>
  <c r="O16" i="7"/>
  <c r="D45" i="7"/>
  <c r="L25" i="7" l="1"/>
  <c r="J44" i="7"/>
  <c r="I44" i="7"/>
  <c r="I45" i="7" s="1"/>
  <c r="L26" i="7"/>
  <c r="K26" i="7" s="1"/>
  <c r="L17" i="7"/>
  <c r="D47" i="7"/>
  <c r="F47" i="7" s="1"/>
  <c r="I47" i="7" s="1"/>
  <c r="I49" i="7" s="1"/>
  <c r="P10" i="7"/>
  <c r="O15" i="7"/>
  <c r="O13" i="7"/>
  <c r="O18" i="7"/>
  <c r="O14" i="7"/>
  <c r="O17" i="7"/>
  <c r="O19" i="7"/>
  <c r="O20" i="7"/>
  <c r="P12" i="7"/>
  <c r="N25" i="7" l="1"/>
  <c r="I50" i="7"/>
  <c r="I51" i="7" s="1"/>
  <c r="E50" i="7"/>
  <c r="E49" i="7"/>
  <c r="P14" i="7"/>
  <c r="P18" i="7"/>
  <c r="P16" i="7"/>
  <c r="P20" i="7"/>
  <c r="P19" i="7"/>
  <c r="P15" i="7"/>
  <c r="P17" i="7"/>
  <c r="Q12" i="7"/>
  <c r="P13" i="7"/>
  <c r="E51" i="7" l="1"/>
  <c r="Q16" i="7"/>
  <c r="Q15" i="7"/>
  <c r="Q17" i="7"/>
  <c r="Q18" i="7"/>
  <c r="Q13" i="7"/>
  <c r="Q20" i="7"/>
  <c r="Q14" i="7"/>
  <c r="Q19" i="7"/>
  <c r="R13" i="7" l="1"/>
  <c r="R16" i="7" l="1"/>
  <c r="R17" i="7"/>
  <c r="R18" i="7"/>
  <c r="R12" i="7"/>
  <c r="R15" i="7"/>
  <c r="R20" i="7"/>
  <c r="R14" i="7"/>
  <c r="R19" i="7"/>
  <c r="M7" i="7"/>
  <c r="R45" i="7" l="1"/>
</calcChain>
</file>

<file path=xl/sharedStrings.xml><?xml version="1.0" encoding="utf-8"?>
<sst xmlns="http://schemas.openxmlformats.org/spreadsheetml/2006/main" count="588" uniqueCount="233">
  <si>
    <t>Box</t>
  </si>
  <si>
    <t>Horizontal Range</t>
  </si>
  <si>
    <t>HORIZ</t>
  </si>
  <si>
    <t>VERT</t>
  </si>
  <si>
    <t>Vertical Range</t>
  </si>
  <si>
    <t>column</t>
  </si>
  <si>
    <t>row</t>
  </si>
  <si>
    <t>Number</t>
  </si>
  <si>
    <t>Hbox</t>
  </si>
  <si>
    <t>Hbx col1</t>
  </si>
  <si>
    <t>Vbox</t>
  </si>
  <si>
    <t>Vbx row1</t>
  </si>
  <si>
    <t>top left corner</t>
  </si>
  <si>
    <t>Numbers available for this cell are:</t>
  </si>
  <si>
    <t>é</t>
  </si>
  <si>
    <t>Possible Values Table</t>
  </si>
  <si>
    <t>Logical Processes</t>
  </si>
  <si>
    <t>box</t>
  </si>
  <si>
    <t>col</t>
  </si>
  <si>
    <t>Possible Grid</t>
  </si>
  <si>
    <t>B</t>
  </si>
  <si>
    <t>Inner Workings Area</t>
  </si>
  <si>
    <t>Cell to Examine</t>
  </si>
  <si>
    <t>A</t>
  </si>
  <si>
    <t>Playing Board</t>
  </si>
  <si>
    <t>D</t>
  </si>
  <si>
    <t>E</t>
  </si>
  <si>
    <t>F</t>
  </si>
  <si>
    <t>G</t>
  </si>
  <si>
    <t>H</t>
  </si>
  <si>
    <t>I</t>
  </si>
  <si>
    <t xml:space="preserve">C </t>
  </si>
  <si>
    <t>REF</t>
  </si>
  <si>
    <t>Box Sums</t>
  </si>
  <si>
    <t>B ox Shorts</t>
  </si>
  <si>
    <t>Rows/Cols</t>
  </si>
  <si>
    <t>Spreadsheets row &amp; cols</t>
  </si>
  <si>
    <t>To examine board Cell</t>
  </si>
  <si>
    <t>Column</t>
  </si>
  <si>
    <t>Row</t>
  </si>
  <si>
    <t>sprdsht col 1</t>
  </si>
  <si>
    <t>sprdsht row 1</t>
  </si>
  <si>
    <t>sprdsht TLC</t>
  </si>
  <si>
    <t>sprdsht BRC</t>
  </si>
  <si>
    <t>botm right cnr</t>
  </si>
  <si>
    <t>box range</t>
  </si>
  <si>
    <t>sprdsht range</t>
  </si>
  <si>
    <t>Use Playing Board Rows  &amp; Columns</t>
  </si>
  <si>
    <t>FILLED</t>
  </si>
  <si>
    <t>EMPTY</t>
  </si>
  <si>
    <t>Free Parking</t>
  </si>
  <si>
    <t>and other numbers can be eliminated from the cells they occupy</t>
  </si>
  <si>
    <t>5 star</t>
  </si>
  <si>
    <t>range.find</t>
  </si>
  <si>
    <t>Return Value</t>
  </si>
  <si>
    <t>A Range object that represents the first cell where that information is found</t>
  </si>
  <si>
    <t>find method</t>
  </si>
  <si>
    <t>Remarks</t>
  </si>
  <si>
    <r>
      <t>Find</t>
    </r>
    <r>
      <rPr>
        <sz val="8"/>
        <color theme="1"/>
        <rFont val="Tahoma"/>
        <family val="2"/>
      </rPr>
      <t xml:space="preserve"> returns </t>
    </r>
    <r>
      <rPr>
        <b/>
        <sz val="8"/>
        <color theme="1"/>
        <rFont val="Tahoma"/>
        <family val="2"/>
      </rPr>
      <t>True</t>
    </r>
    <r>
      <rPr>
        <sz val="8"/>
        <color theme="1"/>
        <rFont val="Tahoma"/>
        <family val="2"/>
      </rPr>
      <t xml:space="preserve"> if a match is found and </t>
    </r>
    <r>
      <rPr>
        <b/>
        <sz val="8"/>
        <color theme="1"/>
        <rFont val="Tahoma"/>
        <family val="2"/>
      </rPr>
      <t>False</t>
    </r>
    <r>
      <rPr>
        <sz val="8"/>
        <color theme="1"/>
        <rFont val="Tahoma"/>
        <family val="2"/>
      </rPr>
      <t xml:space="preserve"> if a match isn't found.</t>
    </r>
  </si>
  <si>
    <t>match</t>
  </si>
  <si>
    <r>
      <t>expression</t>
    </r>
    <r>
      <rPr>
        <b/>
        <sz val="8"/>
        <color theme="1"/>
        <rFont val="Tahoma"/>
        <family val="2"/>
      </rPr>
      <t>.Match(</t>
    </r>
    <r>
      <rPr>
        <b/>
        <i/>
        <sz val="8"/>
        <color theme="1"/>
        <rFont val="Tahoma"/>
        <family val="2"/>
      </rPr>
      <t>Arg1</t>
    </r>
    <r>
      <rPr>
        <b/>
        <sz val="8"/>
        <color theme="1"/>
        <rFont val="Tahoma"/>
        <family val="2"/>
      </rPr>
      <t xml:space="preserve">, </t>
    </r>
    <r>
      <rPr>
        <b/>
        <i/>
        <sz val="8"/>
        <color theme="1"/>
        <rFont val="Tahoma"/>
        <family val="2"/>
      </rPr>
      <t>Arg2</t>
    </r>
    <r>
      <rPr>
        <b/>
        <sz val="8"/>
        <color theme="1"/>
        <rFont val="Tahoma"/>
        <family val="2"/>
      </rPr>
      <t xml:space="preserve">, </t>
    </r>
    <r>
      <rPr>
        <b/>
        <i/>
        <sz val="8"/>
        <color theme="1"/>
        <rFont val="Tahoma"/>
        <family val="2"/>
      </rPr>
      <t>Arg3</t>
    </r>
    <r>
      <rPr>
        <b/>
        <sz val="8"/>
        <color theme="1"/>
        <rFont val="Tahoma"/>
        <family val="2"/>
      </rPr>
      <t>)</t>
    </r>
  </si>
  <si>
    <r>
      <t>expression</t>
    </r>
    <r>
      <rPr>
        <sz val="8"/>
        <color theme="1"/>
        <rFont val="Tahoma"/>
        <family val="2"/>
      </rPr>
      <t xml:space="preserve">   A variable that represents a </t>
    </r>
    <r>
      <rPr>
        <b/>
        <sz val="8"/>
        <color theme="1"/>
        <rFont val="Tahoma"/>
        <family val="2"/>
      </rPr>
      <t>WorksheetFunction</t>
    </r>
    <r>
      <rPr>
        <sz val="8"/>
        <color theme="1"/>
        <rFont val="Tahoma"/>
        <family val="2"/>
      </rPr>
      <t xml:space="preserve"> object.</t>
    </r>
  </si>
  <si>
    <t>Parameters</t>
  </si>
  <si>
    <t>Name</t>
  </si>
  <si>
    <t>Required/Optional</t>
  </si>
  <si>
    <t>Data Type</t>
  </si>
  <si>
    <t>Description</t>
  </si>
  <si>
    <t>Arg1</t>
  </si>
  <si>
    <t>Required</t>
  </si>
  <si>
    <t>Variant</t>
  </si>
  <si>
    <t>Lookup_value - the value you use to find the value you want in a table.</t>
  </si>
  <si>
    <t>Arg2</t>
  </si>
  <si>
    <t>Lookup_array - a contiguous range of cells containing possible lookup values. Lookup_array must be an array or an array reference.</t>
  </si>
  <si>
    <t>Arg3</t>
  </si>
  <si>
    <t>Optional</t>
  </si>
  <si>
    <t>Match_type - the number -1, 0, or 1. Match_type specifies how Microsoft Excel matches lookup_value with values in lookup_array.</t>
  </si>
  <si>
    <t>Double</t>
  </si>
  <si>
    <t>Returns the relative position of an item in an array </t>
  </si>
  <si>
    <t></t>
  </si>
  <si>
    <t></t>
  </si>
  <si>
    <t></t>
  </si>
  <si>
    <t></t>
  </si>
  <si>
    <t></t>
  </si>
  <si>
    <t></t>
  </si>
  <si>
    <t></t>
  </si>
  <si>
    <t>in a row or column then those digits can be eliminated from the rest of  that row or column</t>
  </si>
  <si>
    <t>If a box has any pair of 2 digits exclusively in cells regardless of the length of the digit string in that cell of PVT</t>
  </si>
  <si>
    <t xml:space="preserve">    Sums &amp; Singles Grid</t>
  </si>
  <si>
    <t>you want it too - but it won't solve the puzzle for you.</t>
  </si>
  <si>
    <t>the remaining squares:</t>
  </si>
  <si>
    <t xml:space="preserve"> all your guesses as you fill in</t>
  </si>
  <si>
    <t xml:space="preserve">TO BEGIN - fill out your </t>
  </si>
  <si>
    <t>At the very least, SH (Sudoku Helper) can show you</t>
  </si>
  <si>
    <t>Sudoku usually involves a lot of tedious clerical stuff -</t>
  </si>
  <si>
    <t>writing, erasing, and rewritting - that has nothing to</t>
  </si>
  <si>
    <t>do with the logic of the game. You can get rid of most</t>
  </si>
  <si>
    <t xml:space="preserve">of that. Just find the </t>
  </si>
  <si>
    <t>Possible Values Table and</t>
  </si>
  <si>
    <r>
      <t xml:space="preserve">press the button that says Refresh Possibilities. </t>
    </r>
    <r>
      <rPr>
        <sz val="24"/>
        <color theme="1"/>
        <rFont val="Wingdings"/>
        <charset val="2"/>
      </rPr>
      <t>é</t>
    </r>
  </si>
  <si>
    <t>puzzle on the Playing Board.</t>
  </si>
  <si>
    <t>what numbers are available for a specific cell. Just</t>
  </si>
  <si>
    <t>enter your row ( 1 to 9) and your</t>
  </si>
  <si>
    <t xml:space="preserve">It will automatically </t>
  </si>
  <si>
    <t>fill out all the possible</t>
  </si>
  <si>
    <t>numbers in the whole</t>
  </si>
  <si>
    <t>grid for you!</t>
  </si>
  <si>
    <t>but you don't have to</t>
  </si>
  <si>
    <t>use it to help spot the</t>
  </si>
  <si>
    <t>single digits like in cell</t>
  </si>
  <si>
    <r>
      <rPr>
        <b/>
        <sz val="24"/>
        <color theme="1"/>
        <rFont val="Georgia"/>
        <family val="1"/>
      </rPr>
      <t>Sudoku Helper</t>
    </r>
    <r>
      <rPr>
        <sz val="24"/>
        <color theme="1"/>
        <rFont val="Georgia"/>
        <family val="1"/>
      </rPr>
      <t xml:space="preserve"> will give you as much or as little help as </t>
    </r>
  </si>
  <si>
    <t>The little numbered circles are computer aided</t>
  </si>
  <si>
    <t>strategies you can use or ignore. For example</t>
  </si>
  <si>
    <t>#4 removes all the digits that can</t>
  </si>
  <si>
    <t>values - this means we can get</t>
  </si>
  <si>
    <t>rid of all the other 3's and 6's in the box. Push</t>
  </si>
  <si>
    <t>the button and it will look like</t>
  </si>
  <si>
    <t>sometimes it doesn't.</t>
  </si>
  <si>
    <t>You can explore the other strategies on your own.</t>
  </si>
  <si>
    <t>This is where you will post</t>
  </si>
  <si>
    <t>(lets call the squares "cells".)</t>
  </si>
  <si>
    <t>It also activates the</t>
  </si>
  <si>
    <t>Sums and Singles table,</t>
  </si>
  <si>
    <t>be ignored by eliminating numbers in the Box Pair</t>
  </si>
  <si>
    <t>Exclusion Strategy.  The first box</t>
  </si>
  <si>
    <t>Most importantly, have fun!</t>
  </si>
  <si>
    <t>looks like at right, note the two "36"</t>
  </si>
  <si>
    <t>Public Const Sudoku As String = "Sudoku"</t>
  </si>
  <si>
    <t>Public Const Password As String = "sudoku"</t>
  </si>
  <si>
    <t>Worksheets(Sudoku).Unprotect (Password)</t>
  </si>
  <si>
    <t>Worksheets(Sudoku).Range("B17:J25").Locked = False</t>
  </si>
  <si>
    <t>Application.EnableAutoComplete = True</t>
  </si>
  <si>
    <t>column (A - I) with reference</t>
  </si>
  <si>
    <t>to the Playing Board.  In the ex-</t>
  </si>
  <si>
    <t>ample here, the only two possible</t>
  </si>
  <si>
    <t>numbers for cell B4 are 1 and 2.</t>
  </si>
  <si>
    <t>this - sometimes this helps, and</t>
  </si>
  <si>
    <t>six star</t>
  </si>
  <si>
    <t>1 star</t>
  </si>
  <si>
    <t>Storage Grid</t>
  </si>
  <si>
    <t xml:space="preserve">Password: </t>
  </si>
  <si>
    <t>sudoku</t>
  </si>
  <si>
    <t>3 star</t>
  </si>
  <si>
    <t>Sub IncRow()</t>
  </si>
  <si>
    <t>Sub IncCol()</t>
  </si>
  <si>
    <t>Sub LoadSumsGrid()</t>
  </si>
  <si>
    <t>Sub ClearPossValsTbl()</t>
  </si>
  <si>
    <t>Sub ClearInitGridStore()</t>
  </si>
  <si>
    <t>Sub ClearAllGridsAndTables()</t>
  </si>
  <si>
    <t>Sub UnlockArea(ThisArea As Variant)</t>
  </si>
  <si>
    <t>Sub LockArea(ThisArea As Variant)</t>
  </si>
  <si>
    <t>Sub CLRGRID()</t>
  </si>
  <si>
    <t>Sub ClrSumSngTbl()</t>
  </si>
  <si>
    <t>Sub SetGivenMacro()</t>
  </si>
  <si>
    <t>Sub UseRedMacro()</t>
  </si>
  <si>
    <t>Sub UseblueMacro()</t>
  </si>
  <si>
    <t>Sub UseGreenMacro()</t>
  </si>
  <si>
    <t>Sub UsePurpleMacro()</t>
  </si>
  <si>
    <t>Sub UseBlackMacro()</t>
  </si>
  <si>
    <t>Sub ReloadStoredGrid()</t>
  </si>
  <si>
    <t>Sub ALockProgram()</t>
  </si>
  <si>
    <t>Sub AUnLockProgram()</t>
  </si>
  <si>
    <t>Sub PossiblesGrid()</t>
  </si>
  <si>
    <t>Sub ChangeFontColorMacro()</t>
  </si>
  <si>
    <t>Sub FilterPairExclusions()</t>
  </si>
  <si>
    <t>Sub DoBoxPairs()</t>
  </si>
  <si>
    <t>Sub FindOnlyOnePossible()</t>
  </si>
  <si>
    <t>Sub FindUniqueRowVals()</t>
  </si>
  <si>
    <t>Sub ClrOPVtable()</t>
  </si>
  <si>
    <t>Values in columns</t>
  </si>
  <si>
    <t>n</t>
  </si>
  <si>
    <t>Sums count</t>
  </si>
  <si>
    <t>Vert</t>
  </si>
  <si>
    <t>Horiz</t>
  </si>
  <si>
    <t>2 Star</t>
  </si>
  <si>
    <t>&lt;-PossibleValuesGrid call</t>
  </si>
  <si>
    <t>hold:sudoku7</t>
  </si>
  <si>
    <t>Sudoku Helper Strategies</t>
  </si>
  <si>
    <t>6 star</t>
  </si>
  <si>
    <t>6 Star +</t>
  </si>
  <si>
    <t>In the "Basic Area" you can toggle (hide) the ribbon,</t>
  </si>
  <si>
    <t xml:space="preserve">type in the row you want and/or a column you want to </t>
  </si>
  <si>
    <t>reveal the possible numbers for a cell, sweep through the</t>
  </si>
  <si>
    <t xml:space="preserve">rows with the row button or rotate though both columns </t>
  </si>
  <si>
    <t>and rows with the column button or lock/unlock the sheet.</t>
  </si>
  <si>
    <t xml:space="preserve">The "Refresh Possible Values" button will plot and </t>
  </si>
  <si>
    <t>display available digits for each of the cells on the board.</t>
  </si>
  <si>
    <t>The "Horiz &amp; Vert Exclusions" button removes digits</t>
  </si>
  <si>
    <t>that cannot be a part of a solution based on finding two</t>
  </si>
  <si>
    <t>identical pairs of digits in a row or a column.  Results can</t>
  </si>
  <si>
    <t>occasionally be recursive.</t>
  </si>
  <si>
    <t>The "Box Exclusions" button does the same thing but</t>
  </si>
  <si>
    <t>applies it to box logic.  Hint: use 3 &amp; 4 before 5 &amp; 6.</t>
  </si>
  <si>
    <t>The "Find Unique Values in Columns" button does</t>
  </si>
  <si>
    <t>just what it says.</t>
  </si>
  <si>
    <t>The "Find Unique Values in Rows" button does the</t>
  </si>
  <si>
    <t>same thing for rows.</t>
  </si>
  <si>
    <t>* A "unique value in boxes" strategy is purposefully not</t>
  </si>
  <si>
    <t>implemented.  There are several possible strategies that</t>
  </si>
  <si>
    <t>are left the the player(s) individual implementation</t>
  </si>
  <si>
    <t>There are five colors which you can use to post your</t>
  </si>
  <si>
    <t>guesses on the playing board: lime green, blue, red, black,</t>
  </si>
  <si>
    <t xml:space="preserve">and magenta.  Eventually, but not immediately, a posting </t>
  </si>
  <si>
    <t>error or a bad guess can cause the game to be lost. Remov-</t>
  </si>
  <si>
    <t>ing the most recent guesses in the current color can let a</t>
  </si>
  <si>
    <t>player roll back and try again.</t>
  </si>
  <si>
    <t>Other Strategies</t>
  </si>
  <si>
    <t xml:space="preserve">I7 at the right. (See the 8?)  Just say no if you don't want </t>
  </si>
  <si>
    <t>the help.</t>
  </si>
  <si>
    <t>As long as you don't press the "unlock" button most of the</t>
  </si>
  <si>
    <t>sheet is protected from random keystrokes.  You can post</t>
  </si>
  <si>
    <t>your digit guesses on the playing board. Anything except</t>
  </si>
  <si>
    <t>numbers 1 to 9 will ruin you game, so be careful. But the</t>
  </si>
  <si>
    <t>Possible Values Table doubles as a "scratchboard" where</t>
  </si>
  <si>
    <t>you can change numbers and test strategies before posting</t>
  </si>
  <si>
    <t>a guess to the playing board.  When you press to refresh</t>
  </si>
  <si>
    <t>possibilities, all your work is permanently over writtten.</t>
  </si>
  <si>
    <t>The "Sums and Singles" table is part of a strategy that has</t>
  </si>
  <si>
    <t>not been, and probably never will be, implemented… BUT</t>
  </si>
  <si>
    <t xml:space="preserve">it doubles as a definitive display for singles (called gifts) </t>
  </si>
  <si>
    <t>that the refresh possibilities routine uncovers.  When you</t>
  </si>
  <si>
    <t>think you have won press the "Load Grid" button above it</t>
  </si>
  <si>
    <t>and if it agrees it will display "You Won!" just to the right.</t>
  </si>
  <si>
    <t>2 star</t>
  </si>
  <si>
    <t>4 star</t>
  </si>
  <si>
    <t>never</t>
  </si>
  <si>
    <t>Unique Values Horiz &amp; Vert</t>
  </si>
  <si>
    <t>EXAMPLE OF BAD BOARD</t>
  </si>
  <si>
    <t xml:space="preserve"> Version 053015a
© 2015 John Oakey</t>
  </si>
  <si>
    <t>Beta</t>
  </si>
  <si>
    <t>Social Sudoku</t>
  </si>
  <si>
    <t>1</t>
  </si>
  <si>
    <t>Tough Cookie Awatrd</t>
  </si>
  <si>
    <t>Ready to Play!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</si>
</sst>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sz val="20"/>
      <color theme="1"/>
      <name val="Wingdings"/>
      <charset val="2"/>
    </font>
    <font>
      <sz val="12"/>
      <color theme="1"/>
      <name val="Arial"/>
      <family val="2"/>
    </font>
    <font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8"/>
      <color rgb="FF00000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Arial"/>
      <family val="2"/>
    </font>
    <font>
      <sz val="14"/>
      <color theme="9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FF0000"/>
      <name val="Calibri"/>
      <family val="2"/>
    </font>
    <font>
      <sz val="22"/>
      <color theme="1"/>
      <name val="MS Serif"/>
      <family val="1"/>
    </font>
    <font>
      <sz val="22"/>
      <color theme="5" tint="-0.499984740745262"/>
      <name val="Microsoft Sans Serif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1"/>
      <color rgb="FFFF0000"/>
      <name val="Calibri"/>
      <family val="2"/>
      <scheme val="minor"/>
    </font>
    <font>
      <sz val="20"/>
      <color theme="0" tint="-0.499984740745262"/>
      <name val="Calibri"/>
      <family val="2"/>
      <scheme val="minor"/>
    </font>
    <font>
      <b/>
      <sz val="26"/>
      <color rgb="FF01010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12"/>
      <color theme="3"/>
      <name val="Calibri"/>
      <family val="2"/>
      <scheme val="minor"/>
    </font>
    <font>
      <sz val="18"/>
      <color theme="1"/>
      <name val="Arial"/>
      <family val="2"/>
    </font>
    <font>
      <sz val="14"/>
      <color theme="3" tint="-0.249977111117893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8"/>
      <color theme="1"/>
      <name val="Tahoma"/>
      <family val="2"/>
    </font>
    <font>
      <b/>
      <sz val="13.2"/>
      <color rgb="FF003399"/>
      <name val="Tahoma"/>
      <family val="2"/>
    </font>
    <font>
      <b/>
      <sz val="8"/>
      <color theme="1"/>
      <name val="Tahoma"/>
      <family val="2"/>
    </font>
    <font>
      <u/>
      <sz val="11"/>
      <color theme="10"/>
      <name val="Calibri"/>
      <family val="2"/>
      <scheme val="minor"/>
    </font>
    <font>
      <i/>
      <sz val="8"/>
      <color theme="1"/>
      <name val="Tahoma"/>
      <family val="2"/>
    </font>
    <font>
      <b/>
      <i/>
      <sz val="8"/>
      <color theme="1"/>
      <name val="Tahoma"/>
      <family val="2"/>
    </font>
    <font>
      <b/>
      <sz val="11"/>
      <color rgb="FF000066"/>
      <name val="Tahoma"/>
      <family val="2"/>
    </font>
    <font>
      <sz val="11"/>
      <color theme="1"/>
      <name val="Tahoma"/>
      <family val="2"/>
    </font>
    <font>
      <i/>
      <sz val="11"/>
      <color theme="1"/>
      <name val="Tahoma"/>
      <family val="2"/>
    </font>
    <font>
      <b/>
      <sz val="11"/>
      <color theme="1"/>
      <name val="Tahoma"/>
      <family val="2"/>
    </font>
    <font>
      <sz val="12"/>
      <color rgb="FFFF0000"/>
      <name val="Calibri"/>
      <family val="2"/>
    </font>
    <font>
      <sz val="14"/>
      <color theme="0"/>
      <name val="Calibri"/>
      <family val="2"/>
      <scheme val="minor"/>
    </font>
    <font>
      <sz val="28"/>
      <color theme="1"/>
      <name val="Wingdings"/>
      <charset val="2"/>
    </font>
    <font>
      <sz val="28"/>
      <color theme="7"/>
      <name val="Wingdings"/>
      <charset val="2"/>
    </font>
    <font>
      <sz val="36"/>
      <color rgb="FF000000"/>
      <name val="Calibri"/>
      <family val="2"/>
      <scheme val="minor"/>
    </font>
    <font>
      <b/>
      <sz val="40"/>
      <color theme="1"/>
      <name val="Comic Sans MS"/>
      <family val="4"/>
    </font>
    <font>
      <b/>
      <sz val="40"/>
      <color rgb="FF010101"/>
      <name val="Comic Sans MS"/>
      <family val="4"/>
    </font>
    <font>
      <sz val="24"/>
      <color theme="1"/>
      <name val="Georgia"/>
      <family val="1"/>
    </font>
    <font>
      <sz val="24"/>
      <color theme="1"/>
      <name val="Wingdings"/>
      <charset val="2"/>
    </font>
    <font>
      <b/>
      <sz val="24"/>
      <color theme="1"/>
      <name val="Georgia"/>
      <family val="1"/>
    </font>
    <font>
      <sz val="11"/>
      <color theme="1"/>
      <name val="Wingdings"/>
      <charset val="2"/>
    </font>
    <font>
      <b/>
      <sz val="48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008000"/>
      <name val="Calibri"/>
      <family val="2"/>
    </font>
    <font>
      <b/>
      <sz val="60"/>
      <color theme="1"/>
      <name val="Wingdings"/>
      <charset val="2"/>
    </font>
    <font>
      <b/>
      <sz val="22"/>
      <color theme="1"/>
      <name val="Georgia"/>
      <family val="1"/>
    </font>
    <font>
      <sz val="24"/>
      <color theme="7" tint="-0.499984740745262"/>
      <name val="Georgia"/>
      <family val="1"/>
    </font>
    <font>
      <sz val="14"/>
      <color rgb="FF000000"/>
      <name val="Calibri"/>
      <family val="2"/>
    </font>
    <font>
      <sz val="36"/>
      <color rgb="FF0000FF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FF"/>
      <name val="Calibri"/>
      <family val="2"/>
      <scheme val="minor"/>
    </font>
    <font>
      <sz val="60"/>
      <color rgb="FFFF00FF"/>
      <name val="Wingdings"/>
      <charset val="2"/>
    </font>
    <font>
      <sz val="60"/>
      <color rgb="FF00FF00"/>
      <name val="Wingdings"/>
      <charset val="2"/>
    </font>
    <font>
      <sz val="14"/>
      <color rgb="FF000000"/>
      <name val="Calibri"/>
      <family val="2"/>
      <scheme val="minor"/>
    </font>
    <font>
      <b/>
      <sz val="24"/>
      <color rgb="FF0000FF"/>
      <name val="Arial Narrow"/>
      <family val="2"/>
    </font>
    <font>
      <sz val="2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951C1"/>
        <bgColor indexed="64"/>
      </patternFill>
    </fill>
    <fill>
      <patternFill patternType="solid">
        <fgColor rgb="FF386A3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FEFF7"/>
        <bgColor indexed="64"/>
      </patternFill>
    </fill>
    <fill>
      <patternFill patternType="solid">
        <fgColor rgb="FFF7F7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70DA3"/>
        <bgColor indexed="64"/>
      </patternFill>
    </fill>
    <fill>
      <patternFill patternType="solid">
        <fgColor theme="8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C8CDDE"/>
      </bottom>
      <diagonal/>
    </border>
    <border>
      <left/>
      <right/>
      <top/>
      <bottom style="medium">
        <color rgb="FFD5D5D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3" fillId="0" borderId="0" applyNumberFormat="0" applyFill="0" applyBorder="0" applyAlignment="0" applyProtection="0"/>
  </cellStyleXfs>
  <cellXfs count="39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0" fontId="4" fillId="14" borderId="0" xfId="0" applyFont="1" applyFill="1" applyBorder="1" applyAlignment="1" applyProtection="1">
      <alignment horizontal="center" vertical="center"/>
    </xf>
    <xf numFmtId="0" fontId="12" fillId="0" borderId="0" xfId="0" applyFont="1" applyProtection="1"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4" fillId="6" borderId="30" xfId="0" applyFont="1" applyFill="1" applyBorder="1" applyAlignment="1" applyProtection="1">
      <alignment horizontal="center" vertical="center"/>
    </xf>
    <xf numFmtId="0" fontId="4" fillId="6" borderId="31" xfId="0" applyFont="1" applyFill="1" applyBorder="1" applyAlignment="1" applyProtection="1">
      <alignment horizontal="center" vertical="center"/>
    </xf>
    <xf numFmtId="0" fontId="0" fillId="18" borderId="0" xfId="0" applyFill="1" applyProtection="1">
      <protection locked="0"/>
    </xf>
    <xf numFmtId="0" fontId="16" fillId="6" borderId="28" xfId="0" applyFont="1" applyFill="1" applyBorder="1" applyAlignment="1" applyProtection="1">
      <alignment horizontal="left" vertical="center"/>
    </xf>
    <xf numFmtId="0" fontId="0" fillId="0" borderId="1" xfId="0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20" borderId="0" xfId="0" applyFill="1" applyProtection="1">
      <protection locked="0"/>
    </xf>
    <xf numFmtId="0" fontId="0" fillId="0" borderId="1" xfId="0" applyFont="1" applyBorder="1" applyAlignment="1" applyProtection="1">
      <alignment horizontal="left"/>
      <protection locked="0"/>
    </xf>
    <xf numFmtId="0" fontId="22" fillId="0" borderId="0" xfId="0" applyFont="1"/>
    <xf numFmtId="0" fontId="0" fillId="0" borderId="1" xfId="0" applyBorder="1" applyAlignment="1">
      <alignment horizontal="center"/>
    </xf>
    <xf numFmtId="0" fontId="0" fillId="11" borderId="1" xfId="0" applyFill="1" applyBorder="1" applyAlignment="1" applyProtection="1">
      <alignment horizontal="center"/>
      <protection locked="0"/>
    </xf>
    <xf numFmtId="0" fontId="0" fillId="11" borderId="1" xfId="0" applyFill="1" applyBorder="1" applyProtection="1">
      <protection locked="0"/>
    </xf>
    <xf numFmtId="0" fontId="0" fillId="11" borderId="26" xfId="0" applyFill="1" applyBorder="1" applyProtection="1">
      <protection locked="0"/>
    </xf>
    <xf numFmtId="0" fontId="0" fillId="22" borderId="22" xfId="0" applyFill="1" applyBorder="1"/>
    <xf numFmtId="0" fontId="2" fillId="2" borderId="23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49" fontId="13" fillId="19" borderId="33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/>
    <xf numFmtId="0" fontId="0" fillId="0" borderId="24" xfId="0" applyFont="1" applyBorder="1" applyAlignment="1" applyProtection="1">
      <alignment horizontal="center"/>
      <protection locked="0"/>
    </xf>
    <xf numFmtId="0" fontId="0" fillId="0" borderId="24" xfId="0" applyFont="1" applyBorder="1" applyProtection="1">
      <protection locked="0"/>
    </xf>
    <xf numFmtId="0" fontId="0" fillId="0" borderId="34" xfId="0" applyBorder="1"/>
    <xf numFmtId="0" fontId="0" fillId="0" borderId="21" xfId="0" applyBorder="1"/>
    <xf numFmtId="0" fontId="0" fillId="0" borderId="4" xfId="0" applyBorder="1"/>
    <xf numFmtId="0" fontId="0" fillId="0" borderId="35" xfId="0" applyBorder="1"/>
    <xf numFmtId="0" fontId="0" fillId="0" borderId="6" xfId="0" applyBorder="1"/>
    <xf numFmtId="0" fontId="0" fillId="0" borderId="36" xfId="0" applyFill="1" applyBorder="1"/>
    <xf numFmtId="0" fontId="0" fillId="0" borderId="25" xfId="0" applyBorder="1"/>
    <xf numFmtId="0" fontId="26" fillId="0" borderId="1" xfId="0" applyFont="1" applyBorder="1" applyProtection="1">
      <protection locked="0"/>
    </xf>
    <xf numFmtId="0" fontId="21" fillId="3" borderId="38" xfId="0" applyFont="1" applyFill="1" applyBorder="1" applyAlignment="1">
      <alignment horizontal="center" vertical="center"/>
    </xf>
    <xf numFmtId="0" fontId="21" fillId="3" borderId="19" xfId="0" applyFont="1" applyFill="1" applyBorder="1" applyAlignment="1">
      <alignment horizontal="center" vertical="center"/>
    </xf>
    <xf numFmtId="0" fontId="25" fillId="0" borderId="0" xfId="0" applyFont="1" applyProtection="1">
      <protection locked="0"/>
    </xf>
    <xf numFmtId="0" fontId="25" fillId="0" borderId="0" xfId="0" applyFont="1"/>
    <xf numFmtId="0" fontId="27" fillId="0" borderId="0" xfId="0" applyFont="1" applyProtection="1">
      <protection locked="0"/>
    </xf>
    <xf numFmtId="0" fontId="27" fillId="0" borderId="0" xfId="0" applyFont="1"/>
    <xf numFmtId="0" fontId="30" fillId="0" borderId="38" xfId="0" applyFont="1" applyBorder="1" applyAlignment="1">
      <alignment horizontal="center" vertical="center"/>
    </xf>
    <xf numFmtId="0" fontId="20" fillId="30" borderId="0" xfId="0" applyFont="1" applyFill="1" applyBorder="1" applyAlignment="1">
      <alignment horizontal="center"/>
    </xf>
    <xf numFmtId="0" fontId="20" fillId="30" borderId="37" xfId="0" applyFont="1" applyFill="1" applyBorder="1" applyAlignment="1">
      <alignment horizontal="center"/>
    </xf>
    <xf numFmtId="0" fontId="36" fillId="6" borderId="28" xfId="0" applyFont="1" applyFill="1" applyBorder="1" applyAlignment="1" applyProtection="1">
      <alignment horizontal="left" vertical="center"/>
    </xf>
    <xf numFmtId="0" fontId="0" fillId="12" borderId="41" xfId="0" applyFill="1" applyBorder="1" applyProtection="1">
      <protection locked="0"/>
    </xf>
    <xf numFmtId="0" fontId="0" fillId="13" borderId="41" xfId="0" applyFill="1" applyBorder="1" applyProtection="1">
      <protection locked="0"/>
    </xf>
    <xf numFmtId="0" fontId="7" fillId="19" borderId="16" xfId="0" applyFont="1" applyFill="1" applyBorder="1" applyProtection="1">
      <protection locked="0"/>
    </xf>
    <xf numFmtId="0" fontId="25" fillId="19" borderId="17" xfId="0" applyFont="1" applyFill="1" applyBorder="1"/>
    <xf numFmtId="0" fontId="0" fillId="19" borderId="19" xfId="0" applyFill="1" applyBorder="1"/>
    <xf numFmtId="0" fontId="25" fillId="19" borderId="18" xfId="0" applyFont="1" applyFill="1" applyBorder="1"/>
    <xf numFmtId="0" fontId="0" fillId="0" borderId="44" xfId="0" applyBorder="1"/>
    <xf numFmtId="0" fontId="41" fillId="0" borderId="0" xfId="0" applyFont="1" applyAlignment="1">
      <alignment horizontal="left" vertical="center" indent="1"/>
    </xf>
    <xf numFmtId="0" fontId="43" fillId="0" borderId="0" xfId="1"/>
    <xf numFmtId="0" fontId="42" fillId="0" borderId="0" xfId="0" applyFont="1" applyAlignment="1">
      <alignment horizontal="left" vertical="center" indent="1"/>
    </xf>
    <xf numFmtId="0" fontId="44" fillId="0" borderId="0" xfId="0" applyFont="1" applyAlignment="1">
      <alignment horizontal="left" vertical="center" indent="1"/>
    </xf>
    <xf numFmtId="0" fontId="46" fillId="32" borderId="46" xfId="0" applyFont="1" applyFill="1" applyBorder="1" applyAlignment="1">
      <alignment horizontal="left" vertical="center" wrapText="1"/>
    </xf>
    <xf numFmtId="0" fontId="48" fillId="33" borderId="47" xfId="0" applyFont="1" applyFill="1" applyBorder="1" applyAlignment="1">
      <alignment vertical="center" wrapText="1"/>
    </xf>
    <xf numFmtId="0" fontId="47" fillId="33" borderId="47" xfId="0" applyFont="1" applyFill="1" applyBorder="1" applyAlignment="1">
      <alignment vertical="center" wrapText="1"/>
    </xf>
    <xf numFmtId="0" fontId="49" fillId="33" borderId="47" xfId="0" applyFont="1" applyFill="1" applyBorder="1" applyAlignment="1">
      <alignment vertical="center" wrapText="1"/>
    </xf>
    <xf numFmtId="0" fontId="40" fillId="0" borderId="0" xfId="0" applyFont="1" applyAlignment="1">
      <alignment horizontal="left" vertical="center" indent="1"/>
    </xf>
    <xf numFmtId="0" fontId="53" fillId="0" borderId="0" xfId="0" applyFont="1" applyAlignment="1">
      <alignment horizontal="center" vertical="center"/>
    </xf>
    <xf numFmtId="0" fontId="53" fillId="19" borderId="41" xfId="0" applyFont="1" applyFill="1" applyBorder="1" applyAlignment="1">
      <alignment horizontal="center" vertical="center"/>
    </xf>
    <xf numFmtId="0" fontId="53" fillId="19" borderId="20" xfId="0" applyFont="1" applyFill="1" applyBorder="1" applyAlignment="1">
      <alignment horizontal="center" vertical="center"/>
    </xf>
    <xf numFmtId="0" fontId="0" fillId="36" borderId="0" xfId="0" applyFill="1"/>
    <xf numFmtId="0" fontId="54" fillId="0" borderId="2" xfId="0" applyFont="1" applyBorder="1" applyAlignment="1" applyProtection="1">
      <alignment horizontal="center" vertical="center"/>
      <protection locked="0"/>
    </xf>
    <xf numFmtId="0" fontId="54" fillId="0" borderId="3" xfId="0" applyFont="1" applyBorder="1" applyAlignment="1" applyProtection="1">
      <alignment horizontal="center" vertical="center"/>
      <protection locked="0"/>
    </xf>
    <xf numFmtId="0" fontId="54" fillId="0" borderId="4" xfId="0" applyFont="1" applyBorder="1" applyAlignment="1" applyProtection="1">
      <alignment horizontal="center" vertical="center"/>
      <protection locked="0"/>
    </xf>
    <xf numFmtId="0" fontId="54" fillId="4" borderId="2" xfId="0" applyFont="1" applyFill="1" applyBorder="1" applyAlignment="1" applyProtection="1">
      <alignment horizontal="center" vertical="center"/>
      <protection locked="0"/>
    </xf>
    <xf numFmtId="0" fontId="54" fillId="4" borderId="3" xfId="0" applyFont="1" applyFill="1" applyBorder="1" applyAlignment="1" applyProtection="1">
      <alignment horizontal="center" vertical="center"/>
      <protection locked="0"/>
    </xf>
    <xf numFmtId="0" fontId="54" fillId="4" borderId="4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center" vertical="center"/>
      <protection locked="0"/>
    </xf>
    <xf numFmtId="0" fontId="54" fillId="0" borderId="1" xfId="0" applyFont="1" applyBorder="1" applyAlignment="1" applyProtection="1">
      <alignment horizontal="center" vertical="center"/>
      <protection locked="0"/>
    </xf>
    <xf numFmtId="0" fontId="54" fillId="0" borderId="6" xfId="0" applyFont="1" applyBorder="1" applyAlignment="1" applyProtection="1">
      <alignment horizontal="center" vertical="center"/>
      <protection locked="0"/>
    </xf>
    <xf numFmtId="0" fontId="54" fillId="4" borderId="5" xfId="0" applyFont="1" applyFill="1" applyBorder="1" applyAlignment="1" applyProtection="1">
      <alignment horizontal="center" vertical="center"/>
      <protection locked="0"/>
    </xf>
    <xf numFmtId="0" fontId="54" fillId="4" borderId="1" xfId="0" applyFont="1" applyFill="1" applyBorder="1" applyAlignment="1" applyProtection="1">
      <alignment horizontal="center" vertical="center"/>
      <protection locked="0"/>
    </xf>
    <xf numFmtId="0" fontId="54" fillId="4" borderId="6" xfId="0" applyFont="1" applyFill="1" applyBorder="1" applyAlignment="1" applyProtection="1">
      <alignment horizontal="center" vertical="center"/>
      <protection locked="0"/>
    </xf>
    <xf numFmtId="0" fontId="54" fillId="0" borderId="7" xfId="0" applyFont="1" applyBorder="1" applyAlignment="1" applyProtection="1">
      <alignment horizontal="center" vertical="center"/>
      <protection locked="0"/>
    </xf>
    <xf numFmtId="0" fontId="54" fillId="0" borderId="8" xfId="0" applyFont="1" applyBorder="1" applyAlignment="1" applyProtection="1">
      <alignment horizontal="center" vertical="center"/>
      <protection locked="0"/>
    </xf>
    <xf numFmtId="0" fontId="54" fillId="0" borderId="9" xfId="0" applyFont="1" applyBorder="1" applyAlignment="1" applyProtection="1">
      <alignment horizontal="center" vertical="center"/>
      <protection locked="0"/>
    </xf>
    <xf numFmtId="0" fontId="54" fillId="4" borderId="7" xfId="0" applyFont="1" applyFill="1" applyBorder="1" applyAlignment="1" applyProtection="1">
      <alignment horizontal="center" vertical="center"/>
      <protection locked="0"/>
    </xf>
    <xf numFmtId="0" fontId="54" fillId="4" borderId="8" xfId="0" applyFont="1" applyFill="1" applyBorder="1" applyAlignment="1" applyProtection="1">
      <alignment horizontal="center" vertical="center"/>
      <protection locked="0"/>
    </xf>
    <xf numFmtId="0" fontId="54" fillId="4" borderId="9" xfId="0" applyFont="1" applyFill="1" applyBorder="1" applyAlignment="1" applyProtection="1">
      <alignment horizontal="center" vertical="center"/>
      <protection locked="0"/>
    </xf>
    <xf numFmtId="0" fontId="57" fillId="0" borderId="0" xfId="0" applyFont="1"/>
    <xf numFmtId="0" fontId="60" fillId="0" borderId="0" xfId="0" applyFont="1" applyProtection="1">
      <protection locked="0"/>
    </xf>
    <xf numFmtId="0" fontId="10" fillId="0" borderId="39" xfId="0" applyFont="1" applyBorder="1" applyAlignment="1" applyProtection="1">
      <alignment horizontal="center"/>
    </xf>
    <xf numFmtId="0" fontId="10" fillId="16" borderId="26" xfId="0" applyFont="1" applyFill="1" applyBorder="1" applyAlignment="1" applyProtection="1">
      <alignment horizontal="center"/>
    </xf>
    <xf numFmtId="0" fontId="10" fillId="15" borderId="26" xfId="0" applyFont="1" applyFill="1" applyBorder="1" applyAlignment="1" applyProtection="1">
      <alignment horizontal="center"/>
    </xf>
    <xf numFmtId="0" fontId="10" fillId="17" borderId="26" xfId="0" applyFont="1" applyFill="1" applyBorder="1" applyAlignment="1" applyProtection="1">
      <alignment horizontal="center"/>
    </xf>
    <xf numFmtId="0" fontId="10" fillId="0" borderId="40" xfId="0" applyFont="1" applyBorder="1" applyAlignment="1" applyProtection="1">
      <alignment horizontal="center" wrapText="1"/>
    </xf>
    <xf numFmtId="0" fontId="7" fillId="24" borderId="5" xfId="0" applyFont="1" applyFill="1" applyBorder="1" applyAlignment="1" applyProtection="1">
      <alignment horizontal="center" vertical="center"/>
    </xf>
    <xf numFmtId="0" fontId="28" fillId="0" borderId="1" xfId="0" applyFont="1" applyFill="1" applyBorder="1" applyAlignment="1" applyProtection="1">
      <alignment horizontal="center" vertical="center"/>
    </xf>
    <xf numFmtId="0" fontId="28" fillId="0" borderId="6" xfId="0" applyFont="1" applyBorder="1" applyAlignment="1" applyProtection="1">
      <alignment horizontal="center" vertical="center"/>
    </xf>
    <xf numFmtId="0" fontId="7" fillId="25" borderId="5" xfId="0" applyFont="1" applyFill="1" applyBorder="1" applyAlignment="1" applyProtection="1">
      <alignment horizontal="center" vertical="center"/>
    </xf>
    <xf numFmtId="0" fontId="7" fillId="26" borderId="5" xfId="0" applyFont="1" applyFill="1" applyBorder="1" applyAlignment="1" applyProtection="1">
      <alignment horizontal="center" vertical="center"/>
    </xf>
    <xf numFmtId="0" fontId="7" fillId="11" borderId="5" xfId="0" applyFont="1" applyFill="1" applyBorder="1" applyAlignment="1" applyProtection="1">
      <alignment horizontal="center" vertical="center"/>
    </xf>
    <xf numFmtId="0" fontId="7" fillId="23" borderId="5" xfId="0" applyFont="1" applyFill="1" applyBorder="1" applyAlignment="1" applyProtection="1">
      <alignment horizontal="center" vertical="center"/>
    </xf>
    <xf numFmtId="0" fontId="7" fillId="2" borderId="5" xfId="0" applyFont="1" applyFill="1" applyBorder="1" applyAlignment="1" applyProtection="1">
      <alignment horizontal="center" vertical="center"/>
    </xf>
    <xf numFmtId="0" fontId="7" fillId="21" borderId="5" xfId="0" applyFont="1" applyFill="1" applyBorder="1" applyAlignment="1" applyProtection="1">
      <alignment horizontal="center" vertical="center"/>
    </xf>
    <xf numFmtId="0" fontId="7" fillId="27" borderId="5" xfId="0" applyFont="1" applyFill="1" applyBorder="1" applyAlignment="1" applyProtection="1">
      <alignment horizontal="center" vertical="center"/>
    </xf>
    <xf numFmtId="0" fontId="7" fillId="3" borderId="7" xfId="0" applyFont="1" applyFill="1" applyBorder="1" applyAlignment="1" applyProtection="1">
      <alignment horizontal="center" vertical="center"/>
    </xf>
    <xf numFmtId="0" fontId="28" fillId="0" borderId="8" xfId="0" applyFont="1" applyFill="1" applyBorder="1" applyAlignment="1" applyProtection="1">
      <alignment horizontal="center" vertical="center"/>
    </xf>
    <xf numFmtId="0" fontId="28" fillId="0" borderId="9" xfId="0" applyFont="1" applyBorder="1" applyAlignment="1" applyProtection="1">
      <alignment horizontal="center" vertical="center"/>
    </xf>
    <xf numFmtId="0" fontId="11" fillId="27" borderId="2" xfId="0" applyFont="1" applyFill="1" applyBorder="1" applyAlignment="1" applyProtection="1">
      <alignment horizontal="center"/>
    </xf>
    <xf numFmtId="0" fontId="37" fillId="25" borderId="6" xfId="0" applyFont="1" applyFill="1" applyBorder="1" applyAlignment="1" applyProtection="1">
      <alignment horizontal="center"/>
    </xf>
    <xf numFmtId="0" fontId="11" fillId="27" borderId="5" xfId="0" applyFont="1" applyFill="1" applyBorder="1" applyAlignment="1" applyProtection="1">
      <alignment horizontal="center"/>
    </xf>
    <xf numFmtId="0" fontId="11" fillId="27" borderId="7" xfId="0" applyFont="1" applyFill="1" applyBorder="1" applyAlignment="1" applyProtection="1">
      <alignment horizontal="center"/>
    </xf>
    <xf numFmtId="0" fontId="37" fillId="25" borderId="9" xfId="0" applyFont="1" applyFill="1" applyBorder="1" applyAlignment="1" applyProtection="1">
      <alignment horizontal="center"/>
    </xf>
    <xf numFmtId="0" fontId="11" fillId="27" borderId="26" xfId="0" applyFont="1" applyFill="1" applyBorder="1" applyAlignment="1" applyProtection="1">
      <alignment horizontal="center"/>
    </xf>
    <xf numFmtId="0" fontId="11" fillId="27" borderId="13" xfId="0" applyFont="1" applyFill="1" applyBorder="1" applyAlignment="1" applyProtection="1">
      <alignment horizontal="center"/>
    </xf>
    <xf numFmtId="0" fontId="51" fillId="34" borderId="45" xfId="0" applyFont="1" applyFill="1" applyBorder="1" applyAlignment="1" applyProtection="1">
      <alignment horizontal="center"/>
    </xf>
    <xf numFmtId="0" fontId="37" fillId="17" borderId="45" xfId="0" applyFont="1" applyFill="1" applyBorder="1" applyAlignment="1" applyProtection="1">
      <alignment horizontal="center"/>
    </xf>
    <xf numFmtId="0" fontId="37" fillId="25" borderId="26" xfId="0" applyFont="1" applyFill="1" applyBorder="1" applyAlignment="1" applyProtection="1">
      <alignment horizontal="center"/>
    </xf>
    <xf numFmtId="0" fontId="37" fillId="25" borderId="13" xfId="0" applyFont="1" applyFill="1" applyBorder="1" applyAlignment="1" applyProtection="1">
      <alignment horizontal="center"/>
    </xf>
    <xf numFmtId="0" fontId="0" fillId="0" borderId="0" xfId="0" applyProtection="1"/>
    <xf numFmtId="0" fontId="0" fillId="31" borderId="38" xfId="0" applyFill="1" applyBorder="1" applyProtection="1"/>
    <xf numFmtId="0" fontId="5" fillId="20" borderId="0" xfId="0" applyFont="1" applyFill="1" applyBorder="1" applyAlignment="1" applyProtection="1">
      <alignment horizontal="center" vertical="center"/>
    </xf>
    <xf numFmtId="0" fontId="0" fillId="31" borderId="19" xfId="0" applyFill="1" applyBorder="1" applyProtection="1"/>
    <xf numFmtId="0" fontId="0" fillId="29" borderId="41" xfId="0" applyFill="1" applyBorder="1" applyProtection="1"/>
    <xf numFmtId="0" fontId="2" fillId="28" borderId="8" xfId="0" applyFont="1" applyFill="1" applyBorder="1" applyAlignment="1" applyProtection="1">
      <alignment horizontal="center" vertical="center" wrapText="1"/>
    </xf>
    <xf numFmtId="0" fontId="32" fillId="28" borderId="8" xfId="0" applyFont="1" applyFill="1" applyBorder="1" applyAlignment="1" applyProtection="1">
      <alignment horizontal="center" vertical="center" wrapText="1"/>
    </xf>
    <xf numFmtId="0" fontId="35" fillId="15" borderId="42" xfId="0" applyFont="1" applyFill="1" applyBorder="1" applyProtection="1"/>
    <xf numFmtId="0" fontId="35" fillId="15" borderId="14" xfId="0" applyFont="1" applyFill="1" applyBorder="1" applyAlignment="1" applyProtection="1">
      <alignment horizontal="center"/>
    </xf>
    <xf numFmtId="0" fontId="35" fillId="15" borderId="14" xfId="0" applyFont="1" applyFill="1" applyBorder="1" applyProtection="1"/>
    <xf numFmtId="0" fontId="35" fillId="15" borderId="43" xfId="0" applyFont="1" applyFill="1" applyBorder="1" applyProtection="1"/>
    <xf numFmtId="0" fontId="0" fillId="0" borderId="0" xfId="0" applyBorder="1" applyProtection="1"/>
    <xf numFmtId="0" fontId="7" fillId="0" borderId="0" xfId="0" applyFont="1" applyProtection="1"/>
    <xf numFmtId="0" fontId="17" fillId="6" borderId="2" xfId="0" applyFont="1" applyFill="1" applyBorder="1" applyAlignment="1" applyProtection="1">
      <alignment horizontal="center"/>
    </xf>
    <xf numFmtId="0" fontId="17" fillId="5" borderId="2" xfId="0" applyFont="1" applyFill="1" applyBorder="1" applyAlignment="1" applyProtection="1">
      <alignment horizontal="center"/>
    </xf>
    <xf numFmtId="0" fontId="37" fillId="25" borderId="28" xfId="0" applyFont="1" applyFill="1" applyBorder="1" applyAlignment="1" applyProtection="1">
      <alignment horizontal="center"/>
    </xf>
    <xf numFmtId="0" fontId="15" fillId="0" borderId="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17" fillId="5" borderId="5" xfId="0" applyFont="1" applyFill="1" applyBorder="1" applyAlignment="1" applyProtection="1">
      <alignment horizontal="center"/>
    </xf>
    <xf numFmtId="0" fontId="17" fillId="6" borderId="1" xfId="0" applyFont="1" applyFill="1" applyBorder="1" applyAlignment="1" applyProtection="1">
      <alignment horizontal="center"/>
    </xf>
    <xf numFmtId="0" fontId="17" fillId="5" borderId="6" xfId="0" applyFont="1" applyFill="1" applyBorder="1" applyAlignment="1" applyProtection="1">
      <alignment horizontal="center"/>
    </xf>
    <xf numFmtId="0" fontId="15" fillId="0" borderId="5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/>
    </xf>
    <xf numFmtId="0" fontId="15" fillId="0" borderId="6" xfId="0" applyFont="1" applyBorder="1" applyAlignment="1" applyProtection="1">
      <alignment horizontal="center"/>
    </xf>
    <xf numFmtId="0" fontId="17" fillId="6" borderId="7" xfId="0" applyFont="1" applyFill="1" applyBorder="1" applyAlignment="1" applyProtection="1">
      <alignment horizontal="center"/>
    </xf>
    <xf numFmtId="0" fontId="17" fillId="5" borderId="8" xfId="0" applyFont="1" applyFill="1" applyBorder="1" applyAlignment="1" applyProtection="1">
      <alignment horizontal="center"/>
    </xf>
    <xf numFmtId="0" fontId="17" fillId="6" borderId="9" xfId="0" applyFont="1" applyFill="1" applyBorder="1" applyAlignment="1" applyProtection="1">
      <alignment horizontal="center"/>
    </xf>
    <xf numFmtId="0" fontId="15" fillId="0" borderId="7" xfId="0" applyFont="1" applyBorder="1" applyAlignment="1" applyProtection="1">
      <alignment horizontal="center"/>
    </xf>
    <xf numFmtId="0" fontId="15" fillId="0" borderId="8" xfId="0" applyFont="1" applyBorder="1" applyAlignment="1" applyProtection="1">
      <alignment horizontal="center"/>
    </xf>
    <xf numFmtId="0" fontId="15" fillId="0" borderId="9" xfId="0" applyFont="1" applyBorder="1" applyAlignment="1" applyProtection="1">
      <alignment horizontal="center"/>
    </xf>
    <xf numFmtId="0" fontId="53" fillId="0" borderId="0" xfId="0" applyFont="1" applyAlignment="1" applyProtection="1">
      <alignment horizontal="center" vertical="center"/>
    </xf>
    <xf numFmtId="0" fontId="0" fillId="20" borderId="0" xfId="0" applyFill="1" applyProtection="1"/>
    <xf numFmtId="0" fontId="0" fillId="15" borderId="0" xfId="0" applyFill="1" applyProtection="1"/>
    <xf numFmtId="0" fontId="1" fillId="0" borderId="30" xfId="0" applyFont="1" applyBorder="1" applyAlignment="1" applyProtection="1">
      <alignment horizontal="center" vertical="center"/>
    </xf>
    <xf numFmtId="0" fontId="1" fillId="6" borderId="31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5" fillId="35" borderId="0" xfId="0" applyFont="1" applyFill="1" applyBorder="1" applyAlignment="1" applyProtection="1">
      <alignment horizontal="center" vertical="center"/>
    </xf>
    <xf numFmtId="0" fontId="1" fillId="35" borderId="0" xfId="0" applyFont="1" applyFill="1" applyBorder="1" applyAlignment="1" applyProtection="1">
      <alignment horizontal="center" vertical="center"/>
    </xf>
    <xf numFmtId="0" fontId="1" fillId="20" borderId="0" xfId="0" applyFont="1" applyFill="1" applyBorder="1" applyAlignment="1" applyProtection="1">
      <alignment horizontal="center" vertical="center"/>
    </xf>
    <xf numFmtId="49" fontId="13" fillId="19" borderId="26" xfId="0" applyNumberFormat="1" applyFont="1" applyFill="1" applyBorder="1" applyAlignment="1" applyProtection="1">
      <alignment horizontal="center" vertical="center"/>
      <protection locked="0"/>
    </xf>
    <xf numFmtId="0" fontId="23" fillId="18" borderId="32" xfId="0" applyFont="1" applyFill="1" applyBorder="1" applyAlignment="1" applyProtection="1">
      <alignment vertical="top"/>
    </xf>
    <xf numFmtId="0" fontId="0" fillId="20" borderId="0" xfId="0" applyFill="1" applyBorder="1" applyProtection="1"/>
    <xf numFmtId="0" fontId="0" fillId="14" borderId="0" xfId="0" applyFill="1" applyProtection="1"/>
    <xf numFmtId="0" fontId="9" fillId="0" borderId="2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vertical="center"/>
    </xf>
    <xf numFmtId="0" fontId="9" fillId="4" borderId="2" xfId="0" applyFont="1" applyFill="1" applyBorder="1" applyAlignment="1" applyProtection="1">
      <alignment horizontal="center" vertical="center"/>
    </xf>
    <xf numFmtId="0" fontId="9" fillId="4" borderId="3" xfId="0" applyFont="1" applyFill="1" applyBorder="1" applyAlignment="1" applyProtection="1">
      <alignment horizontal="center" vertical="center"/>
    </xf>
    <xf numFmtId="0" fontId="9" fillId="4" borderId="4" xfId="0" applyFont="1" applyFill="1" applyBorder="1" applyAlignment="1" applyProtection="1">
      <alignment horizontal="center" vertical="center"/>
    </xf>
    <xf numFmtId="0" fontId="9" fillId="0" borderId="5" xfId="0" applyFont="1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horizontal="center" vertical="center"/>
    </xf>
    <xf numFmtId="0" fontId="9" fillId="4" borderId="5" xfId="0" applyFont="1" applyFill="1" applyBorder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9" fillId="4" borderId="6" xfId="0" applyFont="1" applyFill="1" applyBorder="1" applyAlignment="1" applyProtection="1">
      <alignment horizontal="center" vertical="center"/>
    </xf>
    <xf numFmtId="0" fontId="9" fillId="0" borderId="7" xfId="0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center" vertical="center"/>
    </xf>
    <xf numFmtId="0" fontId="9" fillId="4" borderId="7" xfId="0" applyFont="1" applyFill="1" applyBorder="1" applyAlignment="1" applyProtection="1">
      <alignment horizontal="center" vertical="center"/>
    </xf>
    <xf numFmtId="0" fontId="9" fillId="4" borderId="8" xfId="0" applyFont="1" applyFill="1" applyBorder="1" applyAlignment="1" applyProtection="1">
      <alignment horizontal="center" vertical="center"/>
    </xf>
    <xf numFmtId="0" fontId="9" fillId="4" borderId="9" xfId="0" applyFont="1" applyFill="1" applyBorder="1" applyAlignment="1" applyProtection="1">
      <alignment horizontal="center" vertical="center"/>
    </xf>
    <xf numFmtId="0" fontId="0" fillId="0" borderId="17" xfId="0" applyBorder="1" applyAlignment="1">
      <alignment vertical="center"/>
    </xf>
    <xf numFmtId="0" fontId="0" fillId="2" borderId="10" xfId="0" applyFill="1" applyBorder="1" applyProtection="1"/>
    <xf numFmtId="0" fontId="0" fillId="2" borderId="12" xfId="0" applyFill="1" applyBorder="1" applyProtection="1">
      <protection locked="0"/>
    </xf>
    <xf numFmtId="0" fontId="0" fillId="0" borderId="16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62" fillId="0" borderId="0" xfId="0" applyFont="1"/>
    <xf numFmtId="0" fontId="0" fillId="0" borderId="0" xfId="0" applyAlignment="1">
      <alignment horizontal="center" vertical="center"/>
    </xf>
    <xf numFmtId="0" fontId="60" fillId="0" borderId="0" xfId="0" applyFont="1"/>
    <xf numFmtId="0" fontId="57" fillId="39" borderId="0" xfId="0" applyFont="1" applyFill="1"/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1" fillId="3" borderId="0" xfId="0" applyFont="1" applyFill="1" applyBorder="1" applyAlignment="1">
      <alignment horizontal="center" vertical="center"/>
    </xf>
    <xf numFmtId="0" fontId="14" fillId="16" borderId="42" xfId="0" applyFont="1" applyFill="1" applyBorder="1" applyProtection="1"/>
    <xf numFmtId="0" fontId="14" fillId="16" borderId="14" xfId="0" applyFont="1" applyFill="1" applyBorder="1" applyAlignment="1" applyProtection="1">
      <alignment horizontal="center"/>
    </xf>
    <xf numFmtId="0" fontId="14" fillId="16" borderId="14" xfId="0" applyFont="1" applyFill="1" applyBorder="1" applyProtection="1"/>
    <xf numFmtId="0" fontId="14" fillId="16" borderId="43" xfId="0" applyFont="1" applyFill="1" applyBorder="1" applyProtection="1"/>
    <xf numFmtId="0" fontId="0" fillId="18" borderId="38" xfId="0" applyFill="1" applyBorder="1" applyAlignment="1">
      <alignment vertical="top"/>
    </xf>
    <xf numFmtId="0" fontId="0" fillId="18" borderId="0" xfId="0" applyFill="1" applyBorder="1" applyAlignment="1">
      <alignment vertical="top"/>
    </xf>
    <xf numFmtId="0" fontId="23" fillId="18" borderId="38" xfId="0" applyFont="1" applyFill="1" applyBorder="1" applyAlignment="1" applyProtection="1">
      <alignment vertical="top"/>
    </xf>
    <xf numFmtId="0" fontId="0" fillId="7" borderId="0" xfId="0" applyFill="1" applyBorder="1" applyProtection="1">
      <protection locked="0"/>
    </xf>
    <xf numFmtId="0" fontId="0" fillId="9" borderId="0" xfId="0" applyFill="1" applyBorder="1" applyProtection="1"/>
    <xf numFmtId="0" fontId="0" fillId="9" borderId="37" xfId="0" applyFill="1" applyBorder="1" applyProtection="1"/>
    <xf numFmtId="0" fontId="0" fillId="36" borderId="0" xfId="0" applyFill="1" applyBorder="1" applyProtection="1"/>
    <xf numFmtId="0" fontId="0" fillId="36" borderId="37" xfId="0" applyFill="1" applyBorder="1" applyProtection="1"/>
    <xf numFmtId="0" fontId="53" fillId="0" borderId="0" xfId="0" applyFont="1" applyAlignment="1">
      <alignment vertical="center"/>
    </xf>
    <xf numFmtId="0" fontId="65" fillId="0" borderId="0" xfId="0" applyFont="1"/>
    <xf numFmtId="0" fontId="64" fillId="10" borderId="41" xfId="0" applyFont="1" applyFill="1" applyBorder="1" applyAlignment="1" applyProtection="1">
      <alignment wrapText="1"/>
    </xf>
    <xf numFmtId="0" fontId="0" fillId="31" borderId="33" xfId="0" applyFill="1" applyBorder="1" applyProtection="1">
      <protection locked="0"/>
    </xf>
    <xf numFmtId="0" fontId="0" fillId="31" borderId="49" xfId="0" applyFill="1" applyBorder="1" applyProtection="1"/>
    <xf numFmtId="0" fontId="52" fillId="31" borderId="33" xfId="0" applyFont="1" applyFill="1" applyBorder="1" applyAlignment="1" applyProtection="1"/>
    <xf numFmtId="0" fontId="66" fillId="0" borderId="0" xfId="0" applyFont="1"/>
    <xf numFmtId="0" fontId="0" fillId="31" borderId="50" xfId="0" applyFill="1" applyBorder="1"/>
    <xf numFmtId="0" fontId="0" fillId="31" borderId="48" xfId="0" applyFill="1" applyBorder="1"/>
    <xf numFmtId="0" fontId="0" fillId="31" borderId="48" xfId="0" applyFill="1" applyBorder="1" applyProtection="1">
      <protection locked="0"/>
    </xf>
    <xf numFmtId="0" fontId="0" fillId="28" borderId="19" xfId="0" applyFill="1" applyBorder="1" applyProtection="1"/>
    <xf numFmtId="0" fontId="0" fillId="28" borderId="41" xfId="0" applyFill="1" applyBorder="1" applyProtection="1"/>
    <xf numFmtId="0" fontId="0" fillId="28" borderId="20" xfId="0" applyFill="1" applyBorder="1" applyProtection="1"/>
    <xf numFmtId="0" fontId="53" fillId="28" borderId="38" xfId="0" applyFont="1" applyFill="1" applyBorder="1" applyAlignment="1">
      <alignment horizontal="center" vertical="center"/>
    </xf>
    <xf numFmtId="0" fontId="0" fillId="28" borderId="38" xfId="0" applyFill="1" applyBorder="1" applyProtection="1"/>
    <xf numFmtId="0" fontId="0" fillId="28" borderId="0" xfId="0" applyFill="1" applyBorder="1"/>
    <xf numFmtId="0" fontId="0" fillId="28" borderId="0" xfId="0" applyFill="1" applyBorder="1" applyProtection="1"/>
    <xf numFmtId="0" fontId="0" fillId="28" borderId="37" xfId="0" applyFill="1" applyBorder="1"/>
    <xf numFmtId="0" fontId="0" fillId="28" borderId="16" xfId="0" applyFill="1" applyBorder="1"/>
    <xf numFmtId="0" fontId="0" fillId="28" borderId="17" xfId="0" applyFill="1" applyBorder="1"/>
    <xf numFmtId="0" fontId="0" fillId="28" borderId="18" xfId="0" applyFill="1" applyBorder="1"/>
    <xf numFmtId="0" fontId="0" fillId="4" borderId="0" xfId="0" applyFill="1"/>
    <xf numFmtId="0" fontId="0" fillId="4" borderId="0" xfId="0" applyFill="1" applyProtection="1"/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8" xfId="0" applyFont="1" applyFill="1" applyBorder="1" applyAlignment="1" applyProtection="1">
      <alignment horizontal="center" vertical="center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0" fillId="3" borderId="13" xfId="0" applyFill="1" applyBorder="1"/>
    <xf numFmtId="0" fontId="0" fillId="3" borderId="15" xfId="0" applyFill="1" applyBorder="1"/>
    <xf numFmtId="0" fontId="31" fillId="11" borderId="24" xfId="0" applyFont="1" applyFill="1" applyBorder="1" applyAlignment="1">
      <alignment vertical="center"/>
    </xf>
    <xf numFmtId="0" fontId="31" fillId="11" borderId="27" xfId="0" applyFont="1" applyFill="1" applyBorder="1" applyAlignment="1">
      <alignment vertical="center"/>
    </xf>
    <xf numFmtId="0" fontId="31" fillId="11" borderId="51" xfId="0" applyFont="1" applyFill="1" applyBorder="1" applyAlignment="1">
      <alignment vertical="center"/>
    </xf>
    <xf numFmtId="0" fontId="0" fillId="11" borderId="22" xfId="0" applyFill="1" applyBorder="1"/>
    <xf numFmtId="0" fontId="18" fillId="10" borderId="17" xfId="0" applyFont="1" applyFill="1" applyBorder="1" applyAlignment="1"/>
    <xf numFmtId="0" fontId="29" fillId="10" borderId="17" xfId="0" applyFont="1" applyFill="1" applyBorder="1" applyAlignment="1"/>
    <xf numFmtId="0" fontId="18" fillId="10" borderId="18" xfId="0" applyFont="1" applyFill="1" applyBorder="1" applyAlignment="1"/>
    <xf numFmtId="0" fontId="68" fillId="0" borderId="2" xfId="0" applyFont="1" applyBorder="1" applyAlignment="1" applyProtection="1">
      <alignment horizontal="center" vertical="center"/>
      <protection locked="0"/>
    </xf>
    <xf numFmtId="0" fontId="68" fillId="0" borderId="5" xfId="0" applyFont="1" applyBorder="1" applyAlignment="1" applyProtection="1">
      <alignment horizontal="center" vertical="center"/>
      <protection locked="0"/>
    </xf>
    <xf numFmtId="0" fontId="68" fillId="4" borderId="5" xfId="0" applyFont="1" applyFill="1" applyBorder="1" applyAlignment="1" applyProtection="1">
      <alignment horizontal="center" vertical="center"/>
      <protection locked="0"/>
    </xf>
    <xf numFmtId="0" fontId="68" fillId="4" borderId="7" xfId="0" applyFont="1" applyFill="1" applyBorder="1" applyAlignment="1" applyProtection="1">
      <alignment horizontal="center" vertical="center"/>
      <protection locked="0"/>
    </xf>
    <xf numFmtId="0" fontId="68" fillId="0" borderId="3" xfId="0" applyFont="1" applyBorder="1" applyAlignment="1" applyProtection="1">
      <alignment horizontal="center" vertical="center"/>
      <protection locked="0"/>
    </xf>
    <xf numFmtId="0" fontId="68" fillId="0" borderId="8" xfId="0" applyFont="1" applyBorder="1" applyAlignment="1" applyProtection="1">
      <alignment horizontal="center" vertical="center"/>
      <protection locked="0"/>
    </xf>
    <xf numFmtId="0" fontId="68" fillId="4" borderId="3" xfId="0" applyFont="1" applyFill="1" applyBorder="1" applyAlignment="1" applyProtection="1">
      <alignment horizontal="center" vertical="center"/>
      <protection locked="0"/>
    </xf>
    <xf numFmtId="0" fontId="68" fillId="4" borderId="8" xfId="0" applyFont="1" applyFill="1" applyBorder="1" applyAlignment="1" applyProtection="1">
      <alignment horizontal="center" vertical="center"/>
      <protection locked="0"/>
    </xf>
    <xf numFmtId="0" fontId="68" fillId="0" borderId="4" xfId="0" applyFont="1" applyBorder="1" applyAlignment="1" applyProtection="1">
      <alignment horizontal="center" vertical="center"/>
      <protection locked="0"/>
    </xf>
    <xf numFmtId="0" fontId="68" fillId="0" borderId="6" xfId="0" applyFont="1" applyBorder="1" applyAlignment="1" applyProtection="1">
      <alignment horizontal="center" vertical="center"/>
      <protection locked="0"/>
    </xf>
    <xf numFmtId="0" fontId="68" fillId="0" borderId="9" xfId="0" applyFont="1" applyBorder="1" applyAlignment="1" applyProtection="1">
      <alignment horizontal="center" vertical="center"/>
      <protection locked="0"/>
    </xf>
    <xf numFmtId="0" fontId="68" fillId="4" borderId="6" xfId="0" applyFont="1" applyFill="1" applyBorder="1" applyAlignment="1" applyProtection="1">
      <alignment horizontal="center" vertical="center"/>
      <protection locked="0"/>
    </xf>
    <xf numFmtId="0" fontId="68" fillId="4" borderId="9" xfId="0" applyFont="1" applyFill="1" applyBorder="1" applyAlignment="1" applyProtection="1">
      <alignment horizontal="center" vertical="center"/>
      <protection locked="0"/>
    </xf>
    <xf numFmtId="0" fontId="68" fillId="4" borderId="2" xfId="0" applyFont="1" applyFill="1" applyBorder="1" applyAlignment="1" applyProtection="1">
      <alignment horizontal="center" vertical="center"/>
      <protection locked="0"/>
    </xf>
    <xf numFmtId="0" fontId="68" fillId="0" borderId="7" xfId="0" applyFont="1" applyBorder="1" applyAlignment="1" applyProtection="1">
      <alignment horizontal="center" vertical="center"/>
      <protection locked="0"/>
    </xf>
    <xf numFmtId="0" fontId="68" fillId="4" borderId="4" xfId="0" applyFont="1" applyFill="1" applyBorder="1" applyAlignment="1" applyProtection="1">
      <alignment horizontal="center" vertical="center"/>
      <protection locked="0"/>
    </xf>
    <xf numFmtId="0" fontId="18" fillId="10" borderId="17" xfId="0" applyFont="1" applyFill="1" applyBorder="1" applyAlignment="1">
      <alignment horizontal="center"/>
    </xf>
    <xf numFmtId="0" fontId="29" fillId="10" borderId="17" xfId="0" applyFont="1" applyFill="1" applyBorder="1" applyAlignment="1">
      <alignment horizontal="center"/>
    </xf>
    <xf numFmtId="0" fontId="20" fillId="31" borderId="0" xfId="0" applyFont="1" applyFill="1" applyBorder="1" applyAlignment="1">
      <alignment horizontal="center"/>
    </xf>
    <xf numFmtId="0" fontId="54" fillId="31" borderId="2" xfId="0" applyFont="1" applyFill="1" applyBorder="1" applyAlignment="1" applyProtection="1">
      <alignment horizontal="center" vertical="center"/>
      <protection locked="0"/>
    </xf>
    <xf numFmtId="0" fontId="54" fillId="31" borderId="3" xfId="0" applyFont="1" applyFill="1" applyBorder="1" applyAlignment="1" applyProtection="1">
      <alignment horizontal="center" vertical="center"/>
      <protection locked="0"/>
    </xf>
    <xf numFmtId="0" fontId="54" fillId="31" borderId="4" xfId="0" applyFont="1" applyFill="1" applyBorder="1" applyAlignment="1" applyProtection="1">
      <alignment horizontal="center" vertical="center"/>
      <protection locked="0"/>
    </xf>
    <xf numFmtId="0" fontId="54" fillId="31" borderId="5" xfId="0" applyFont="1" applyFill="1" applyBorder="1" applyAlignment="1" applyProtection="1">
      <alignment horizontal="center" vertical="center"/>
      <protection locked="0"/>
    </xf>
    <xf numFmtId="0" fontId="54" fillId="31" borderId="1" xfId="0" applyFont="1" applyFill="1" applyBorder="1" applyAlignment="1" applyProtection="1">
      <alignment horizontal="center" vertical="center"/>
      <protection locked="0"/>
    </xf>
    <xf numFmtId="0" fontId="54" fillId="31" borderId="6" xfId="0" applyFont="1" applyFill="1" applyBorder="1" applyAlignment="1" applyProtection="1">
      <alignment horizontal="center" vertical="center"/>
      <protection locked="0"/>
    </xf>
    <xf numFmtId="0" fontId="54" fillId="31" borderId="7" xfId="0" applyFont="1" applyFill="1" applyBorder="1" applyAlignment="1" applyProtection="1">
      <alignment horizontal="center" vertical="center"/>
      <protection locked="0"/>
    </xf>
    <xf numFmtId="0" fontId="54" fillId="31" borderId="8" xfId="0" applyFont="1" applyFill="1" applyBorder="1" applyAlignment="1" applyProtection="1">
      <alignment horizontal="center" vertical="center"/>
      <protection locked="0"/>
    </xf>
    <xf numFmtId="0" fontId="54" fillId="31" borderId="9" xfId="0" applyFont="1" applyFill="1" applyBorder="1" applyAlignment="1" applyProtection="1">
      <alignment horizontal="center" vertical="center"/>
      <protection locked="0"/>
    </xf>
    <xf numFmtId="0" fontId="20" fillId="36" borderId="0" xfId="0" applyFont="1" applyFill="1" applyBorder="1" applyAlignment="1">
      <alignment horizontal="center"/>
    </xf>
    <xf numFmtId="0" fontId="62" fillId="31" borderId="45" xfId="0" applyFont="1" applyFill="1" applyBorder="1" applyAlignment="1" applyProtection="1">
      <alignment horizontal="center" vertical="center" wrapText="1"/>
      <protection locked="0"/>
    </xf>
    <xf numFmtId="0" fontId="69" fillId="0" borderId="2" xfId="0" applyFont="1" applyBorder="1" applyAlignment="1" applyProtection="1">
      <alignment horizontal="center" vertical="center"/>
      <protection locked="0"/>
    </xf>
    <xf numFmtId="0" fontId="69" fillId="0" borderId="4" xfId="0" applyFont="1" applyBorder="1" applyAlignment="1" applyProtection="1">
      <alignment horizontal="center" vertical="center"/>
      <protection locked="0"/>
    </xf>
    <xf numFmtId="0" fontId="69" fillId="4" borderId="2" xfId="0" applyFont="1" applyFill="1" applyBorder="1" applyAlignment="1" applyProtection="1">
      <alignment horizontal="center" vertical="center"/>
      <protection locked="0"/>
    </xf>
    <xf numFmtId="0" fontId="69" fillId="4" borderId="3" xfId="0" applyFont="1" applyFill="1" applyBorder="1" applyAlignment="1" applyProtection="1">
      <alignment horizontal="center" vertical="center"/>
      <protection locked="0"/>
    </xf>
    <xf numFmtId="0" fontId="69" fillId="4" borderId="4" xfId="0" applyFont="1" applyFill="1" applyBorder="1" applyAlignment="1" applyProtection="1">
      <alignment horizontal="center" vertical="center"/>
      <protection locked="0"/>
    </xf>
    <xf numFmtId="0" fontId="69" fillId="0" borderId="3" xfId="0" applyFont="1" applyBorder="1" applyAlignment="1" applyProtection="1">
      <alignment horizontal="center" vertical="center"/>
      <protection locked="0"/>
    </xf>
    <xf numFmtId="0" fontId="69" fillId="0" borderId="5" xfId="0" applyFont="1" applyBorder="1" applyAlignment="1" applyProtection="1">
      <alignment horizontal="center" vertical="center"/>
      <protection locked="0"/>
    </xf>
    <xf numFmtId="0" fontId="69" fillId="0" borderId="1" xfId="0" applyFont="1" applyBorder="1" applyAlignment="1" applyProtection="1">
      <alignment horizontal="center" vertical="center"/>
      <protection locked="0"/>
    </xf>
    <xf numFmtId="0" fontId="69" fillId="0" borderId="6" xfId="0" applyFont="1" applyBorder="1" applyAlignment="1" applyProtection="1">
      <alignment horizontal="center" vertical="center"/>
      <protection locked="0"/>
    </xf>
    <xf numFmtId="0" fontId="69" fillId="4" borderId="5" xfId="0" applyFont="1" applyFill="1" applyBorder="1" applyAlignment="1" applyProtection="1">
      <alignment horizontal="center" vertical="center"/>
      <protection locked="0"/>
    </xf>
    <xf numFmtId="0" fontId="69" fillId="4" borderId="1" xfId="0" applyFont="1" applyFill="1" applyBorder="1" applyAlignment="1" applyProtection="1">
      <alignment horizontal="center" vertical="center"/>
      <protection locked="0"/>
    </xf>
    <xf numFmtId="0" fontId="69" fillId="4" borderId="6" xfId="0" applyFont="1" applyFill="1" applyBorder="1" applyAlignment="1" applyProtection="1">
      <alignment horizontal="center" vertical="center"/>
      <protection locked="0"/>
    </xf>
    <xf numFmtId="0" fontId="69" fillId="0" borderId="7" xfId="0" applyFont="1" applyBorder="1" applyAlignment="1" applyProtection="1">
      <alignment horizontal="center" vertical="center"/>
      <protection locked="0"/>
    </xf>
    <xf numFmtId="0" fontId="69" fillId="0" borderId="8" xfId="0" applyFont="1" applyBorder="1" applyAlignment="1" applyProtection="1">
      <alignment horizontal="center" vertical="center"/>
      <protection locked="0"/>
    </xf>
    <xf numFmtId="0" fontId="69" fillId="0" borderId="9" xfId="0" applyFont="1" applyBorder="1" applyAlignment="1" applyProtection="1">
      <alignment horizontal="center" vertical="center"/>
      <protection locked="0"/>
    </xf>
    <xf numFmtId="0" fontId="69" fillId="4" borderId="7" xfId="0" applyFont="1" applyFill="1" applyBorder="1" applyAlignment="1" applyProtection="1">
      <alignment horizontal="center" vertical="center"/>
      <protection locked="0"/>
    </xf>
    <xf numFmtId="0" fontId="69" fillId="4" borderId="8" xfId="0" applyFont="1" applyFill="1" applyBorder="1" applyAlignment="1" applyProtection="1">
      <alignment horizontal="center" vertical="center"/>
      <protection locked="0"/>
    </xf>
    <xf numFmtId="0" fontId="69" fillId="4" borderId="9" xfId="0" applyFont="1" applyFill="1" applyBorder="1" applyAlignment="1" applyProtection="1">
      <alignment horizontal="center" vertical="center"/>
      <protection locked="0"/>
    </xf>
    <xf numFmtId="0" fontId="70" fillId="7" borderId="0" xfId="0" applyFont="1" applyFill="1" applyBorder="1" applyProtection="1"/>
    <xf numFmtId="0" fontId="70" fillId="20" borderId="0" xfId="0" applyFont="1" applyFill="1" applyBorder="1" applyProtection="1"/>
    <xf numFmtId="0" fontId="71" fillId="36" borderId="38" xfId="0" applyFont="1" applyFill="1" applyBorder="1" applyAlignment="1" applyProtection="1">
      <alignment horizontal="center" vertical="center"/>
    </xf>
    <xf numFmtId="0" fontId="71" fillId="38" borderId="24" xfId="0" applyFont="1" applyFill="1" applyBorder="1" applyAlignment="1" applyProtection="1">
      <alignment horizontal="center" vertical="center"/>
    </xf>
    <xf numFmtId="0" fontId="72" fillId="9" borderId="37" xfId="0" applyFont="1" applyFill="1" applyBorder="1" applyAlignment="1" applyProtection="1">
      <alignment horizontal="center" vertical="center"/>
    </xf>
    <xf numFmtId="0" fontId="71" fillId="8" borderId="0" xfId="0" applyFont="1" applyFill="1" applyBorder="1" applyAlignment="1" applyProtection="1">
      <alignment horizontal="center" vertical="center"/>
    </xf>
    <xf numFmtId="0" fontId="73" fillId="0" borderId="2" xfId="0" applyFont="1" applyBorder="1" applyAlignment="1" applyProtection="1">
      <alignment horizontal="center" vertical="center"/>
      <protection locked="0"/>
    </xf>
    <xf numFmtId="0" fontId="73" fillId="0" borderId="3" xfId="0" applyFont="1" applyBorder="1" applyAlignment="1" applyProtection="1">
      <alignment horizontal="center" vertical="center"/>
      <protection locked="0"/>
    </xf>
    <xf numFmtId="0" fontId="73" fillId="0" borderId="4" xfId="0" applyFont="1" applyBorder="1" applyAlignment="1" applyProtection="1">
      <alignment horizontal="center" vertical="center"/>
      <protection locked="0"/>
    </xf>
    <xf numFmtId="0" fontId="73" fillId="4" borderId="2" xfId="0" applyFont="1" applyFill="1" applyBorder="1" applyAlignment="1" applyProtection="1">
      <alignment horizontal="center" vertical="center"/>
      <protection locked="0"/>
    </xf>
    <xf numFmtId="0" fontId="73" fillId="4" borderId="3" xfId="0" applyFont="1" applyFill="1" applyBorder="1" applyAlignment="1" applyProtection="1">
      <alignment horizontal="center" vertical="center"/>
      <protection locked="0"/>
    </xf>
    <xf numFmtId="0" fontId="73" fillId="4" borderId="4" xfId="0" applyFont="1" applyFill="1" applyBorder="1" applyAlignment="1" applyProtection="1">
      <alignment horizontal="center" vertical="center"/>
      <protection locked="0"/>
    </xf>
    <xf numFmtId="0" fontId="73" fillId="0" borderId="5" xfId="0" applyFont="1" applyBorder="1" applyAlignment="1" applyProtection="1">
      <alignment horizontal="center" vertical="center"/>
      <protection locked="0"/>
    </xf>
    <xf numFmtId="0" fontId="73" fillId="0" borderId="1" xfId="0" applyFont="1" applyBorder="1" applyAlignment="1" applyProtection="1">
      <alignment horizontal="center" vertical="center"/>
      <protection locked="0"/>
    </xf>
    <xf numFmtId="0" fontId="73" fillId="0" borderId="6" xfId="0" applyFont="1" applyBorder="1" applyAlignment="1" applyProtection="1">
      <alignment horizontal="center" vertical="center"/>
      <protection locked="0"/>
    </xf>
    <xf numFmtId="0" fontId="73" fillId="4" borderId="5" xfId="0" applyFont="1" applyFill="1" applyBorder="1" applyAlignment="1" applyProtection="1">
      <alignment horizontal="center" vertical="center"/>
      <protection locked="0"/>
    </xf>
    <xf numFmtId="0" fontId="73" fillId="4" borderId="1" xfId="0" applyFont="1" applyFill="1" applyBorder="1" applyAlignment="1" applyProtection="1">
      <alignment horizontal="center" vertical="center"/>
      <protection locked="0"/>
    </xf>
    <xf numFmtId="0" fontId="73" fillId="4" borderId="6" xfId="0" applyFont="1" applyFill="1" applyBorder="1" applyAlignment="1" applyProtection="1">
      <alignment horizontal="center" vertical="center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73" fillId="0" borderId="8" xfId="0" applyFont="1" applyBorder="1" applyAlignment="1" applyProtection="1">
      <alignment horizontal="center" vertical="center"/>
      <protection locked="0"/>
    </xf>
    <xf numFmtId="0" fontId="73" fillId="0" borderId="9" xfId="0" applyFont="1" applyBorder="1" applyAlignment="1" applyProtection="1">
      <alignment horizontal="center" vertical="center"/>
      <protection locked="0"/>
    </xf>
    <xf numFmtId="0" fontId="73" fillId="4" borderId="7" xfId="0" applyFont="1" applyFill="1" applyBorder="1" applyAlignment="1" applyProtection="1">
      <alignment horizontal="center" vertical="center"/>
      <protection locked="0"/>
    </xf>
    <xf numFmtId="0" fontId="73" fillId="4" borderId="8" xfId="0" applyFont="1" applyFill="1" applyBorder="1" applyAlignment="1" applyProtection="1">
      <alignment horizontal="center" vertical="center"/>
      <protection locked="0"/>
    </xf>
    <xf numFmtId="0" fontId="73" fillId="4" borderId="9" xfId="0" applyFont="1" applyFill="1" applyBorder="1" applyAlignment="1" applyProtection="1">
      <alignment horizontal="center" vertical="center"/>
      <protection locked="0"/>
    </xf>
    <xf numFmtId="0" fontId="27" fillId="4" borderId="2" xfId="0" applyFont="1" applyFill="1" applyBorder="1" applyAlignment="1" applyProtection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22" borderId="24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24" fillId="0" borderId="19" xfId="0" applyFont="1" applyBorder="1" applyAlignment="1" applyProtection="1">
      <alignment horizontal="center" vertical="center"/>
    </xf>
    <xf numFmtId="0" fontId="24" fillId="0" borderId="41" xfId="0" applyFont="1" applyBorder="1" applyAlignment="1" applyProtection="1">
      <alignment horizontal="center" vertical="center"/>
    </xf>
    <xf numFmtId="0" fontId="24" fillId="0" borderId="20" xfId="0" applyFont="1" applyBorder="1" applyAlignment="1" applyProtection="1">
      <alignment horizontal="center" vertical="center"/>
    </xf>
    <xf numFmtId="0" fontId="0" fillId="19" borderId="30" xfId="0" applyFill="1" applyBorder="1" applyAlignment="1">
      <alignment horizontal="center" vertical="center" wrapText="1"/>
    </xf>
    <xf numFmtId="0" fontId="0" fillId="19" borderId="31" xfId="0" applyFill="1" applyBorder="1" applyAlignment="1">
      <alignment horizontal="center" vertical="center" wrapText="1"/>
    </xf>
    <xf numFmtId="0" fontId="55" fillId="19" borderId="16" xfId="0" applyFont="1" applyFill="1" applyBorder="1" applyAlignment="1">
      <alignment horizontal="center" vertical="center"/>
    </xf>
    <xf numFmtId="0" fontId="56" fillId="19" borderId="30" xfId="0" applyFont="1" applyFill="1" applyBorder="1" applyAlignment="1">
      <alignment horizontal="center" vertical="center"/>
    </xf>
    <xf numFmtId="0" fontId="55" fillId="19" borderId="30" xfId="0" applyFont="1" applyFill="1" applyBorder="1" applyAlignment="1">
      <alignment horizontal="center" vertical="center"/>
    </xf>
    <xf numFmtId="0" fontId="18" fillId="10" borderId="17" xfId="0" applyFont="1" applyFill="1" applyBorder="1" applyAlignment="1">
      <alignment horizontal="center"/>
    </xf>
    <xf numFmtId="0" fontId="29" fillId="10" borderId="17" xfId="0" applyFont="1" applyFill="1" applyBorder="1" applyAlignment="1">
      <alignment horizontal="center"/>
    </xf>
    <xf numFmtId="0" fontId="34" fillId="0" borderId="28" xfId="0" applyFont="1" applyBorder="1" applyAlignment="1" applyProtection="1">
      <alignment horizontal="center" wrapText="1"/>
    </xf>
    <xf numFmtId="0" fontId="34" fillId="0" borderId="31" xfId="0" applyFont="1" applyBorder="1" applyAlignment="1" applyProtection="1">
      <alignment horizontal="center" wrapText="1"/>
    </xf>
    <xf numFmtId="0" fontId="74" fillId="37" borderId="16" xfId="0" applyFont="1" applyFill="1" applyBorder="1" applyAlignment="1" applyProtection="1">
      <alignment horizontal="center" vertical="center"/>
    </xf>
    <xf numFmtId="0" fontId="74" fillId="37" borderId="17" xfId="0" applyFont="1" applyFill="1" applyBorder="1" applyAlignment="1" applyProtection="1">
      <alignment horizontal="center" vertical="center"/>
    </xf>
    <xf numFmtId="0" fontId="74" fillId="37" borderId="18" xfId="0" applyFont="1" applyFill="1" applyBorder="1" applyAlignment="1" applyProtection="1">
      <alignment horizontal="center" vertical="center"/>
    </xf>
    <xf numFmtId="0" fontId="74" fillId="37" borderId="19" xfId="0" applyFont="1" applyFill="1" applyBorder="1" applyAlignment="1" applyProtection="1">
      <alignment horizontal="center" vertical="center"/>
    </xf>
    <xf numFmtId="0" fontId="74" fillId="37" borderId="41" xfId="0" applyFont="1" applyFill="1" applyBorder="1" applyAlignment="1" applyProtection="1">
      <alignment horizontal="center" vertical="center"/>
    </xf>
    <xf numFmtId="0" fontId="74" fillId="37" borderId="20" xfId="0" applyFont="1" applyFill="1" applyBorder="1" applyAlignment="1" applyProtection="1">
      <alignment horizontal="center" vertical="center"/>
    </xf>
    <xf numFmtId="0" fontId="61" fillId="31" borderId="10" xfId="0" applyFont="1" applyFill="1" applyBorder="1" applyAlignment="1" applyProtection="1">
      <alignment horizontal="center" vertical="center"/>
    </xf>
    <xf numFmtId="0" fontId="61" fillId="31" borderId="11" xfId="0" applyFont="1" applyFill="1" applyBorder="1" applyAlignment="1" applyProtection="1">
      <alignment horizontal="center" vertical="center"/>
    </xf>
    <xf numFmtId="0" fontId="61" fillId="31" borderId="12" xfId="0" applyFont="1" applyFill="1" applyBorder="1" applyAlignment="1" applyProtection="1">
      <alignment horizontal="center" vertical="center"/>
    </xf>
    <xf numFmtId="0" fontId="61" fillId="31" borderId="13" xfId="0" applyFont="1" applyFill="1" applyBorder="1" applyAlignment="1" applyProtection="1">
      <alignment horizontal="center" vertical="center"/>
    </xf>
    <xf numFmtId="0" fontId="61" fillId="31" borderId="14" xfId="0" applyFont="1" applyFill="1" applyBorder="1" applyAlignment="1" applyProtection="1">
      <alignment horizontal="center" vertical="center"/>
    </xf>
    <xf numFmtId="0" fontId="61" fillId="31" borderId="15" xfId="0" applyFon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18" fillId="31" borderId="17" xfId="0" applyFont="1" applyFill="1" applyBorder="1" applyAlignment="1">
      <alignment horizontal="center"/>
    </xf>
    <xf numFmtId="0" fontId="29" fillId="31" borderId="17" xfId="0" applyFont="1" applyFill="1" applyBorder="1" applyAlignment="1">
      <alignment horizontal="center"/>
    </xf>
    <xf numFmtId="0" fontId="18" fillId="10" borderId="18" xfId="0" applyFont="1" applyFill="1" applyBorder="1" applyAlignment="1">
      <alignment horizontal="center"/>
    </xf>
    <xf numFmtId="0" fontId="54" fillId="0" borderId="2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4" xfId="0" applyFont="1" applyBorder="1" applyAlignment="1" applyProtection="1">
      <alignment horizontal="center" vertical="center"/>
    </xf>
    <xf numFmtId="0" fontId="54" fillId="4" borderId="2" xfId="0" applyFont="1" applyFill="1" applyBorder="1" applyAlignment="1" applyProtection="1">
      <alignment horizontal="center" vertical="center"/>
    </xf>
    <xf numFmtId="0" fontId="54" fillId="4" borderId="3" xfId="0" applyFont="1" applyFill="1" applyBorder="1" applyAlignment="1" applyProtection="1">
      <alignment horizontal="center" vertical="center"/>
    </xf>
    <xf numFmtId="0" fontId="54" fillId="4" borderId="4" xfId="0" applyFont="1" applyFill="1" applyBorder="1" applyAlignment="1" applyProtection="1">
      <alignment horizontal="center" vertical="center"/>
    </xf>
    <xf numFmtId="0" fontId="54" fillId="0" borderId="5" xfId="0" applyFont="1" applyBorder="1" applyAlignment="1" applyProtection="1">
      <alignment horizontal="center" vertical="center"/>
    </xf>
    <xf numFmtId="0" fontId="54" fillId="0" borderId="1" xfId="0" applyFont="1" applyBorder="1" applyAlignment="1" applyProtection="1">
      <alignment horizontal="center" vertical="center"/>
    </xf>
    <xf numFmtId="0" fontId="54" fillId="0" borderId="6" xfId="0" applyFont="1" applyBorder="1" applyAlignment="1" applyProtection="1">
      <alignment horizontal="center" vertical="center"/>
    </xf>
    <xf numFmtId="0" fontId="54" fillId="4" borderId="5" xfId="0" applyFont="1" applyFill="1" applyBorder="1" applyAlignment="1" applyProtection="1">
      <alignment horizontal="center" vertical="center"/>
    </xf>
    <xf numFmtId="0" fontId="54" fillId="4" borderId="1" xfId="0" applyFont="1" applyFill="1" applyBorder="1" applyAlignment="1" applyProtection="1">
      <alignment horizontal="center" vertical="center"/>
    </xf>
    <xf numFmtId="0" fontId="54" fillId="4" borderId="6" xfId="0" applyFont="1" applyFill="1" applyBorder="1" applyAlignment="1" applyProtection="1">
      <alignment horizontal="center" vertical="center"/>
    </xf>
    <xf numFmtId="0" fontId="54" fillId="0" borderId="7" xfId="0" applyFont="1" applyBorder="1" applyAlignment="1" applyProtection="1">
      <alignment horizontal="center" vertical="center"/>
    </xf>
    <xf numFmtId="0" fontId="54" fillId="0" borderId="8" xfId="0" applyFont="1" applyBorder="1" applyAlignment="1" applyProtection="1">
      <alignment horizontal="center" vertical="center"/>
    </xf>
    <xf numFmtId="0" fontId="54" fillId="0" borderId="9" xfId="0" applyFont="1" applyBorder="1" applyAlignment="1" applyProtection="1">
      <alignment horizontal="center" vertical="center"/>
    </xf>
    <xf numFmtId="0" fontId="54" fillId="4" borderId="7" xfId="0" applyFont="1" applyFill="1" applyBorder="1" applyAlignment="1" applyProtection="1">
      <alignment horizontal="center" vertical="center"/>
    </xf>
    <xf numFmtId="0" fontId="54" fillId="4" borderId="8" xfId="0" applyFont="1" applyFill="1" applyBorder="1" applyAlignment="1" applyProtection="1">
      <alignment horizontal="center" vertical="center"/>
    </xf>
    <xf numFmtId="0" fontId="54" fillId="4" borderId="9" xfId="0" applyFont="1" applyFill="1" applyBorder="1" applyAlignment="1" applyProtection="1">
      <alignment horizontal="center" vertical="center"/>
    </xf>
    <xf numFmtId="0" fontId="75" fillId="0" borderId="2" xfId="0" applyFont="1" applyBorder="1" applyAlignment="1" applyProtection="1">
      <alignment horizontal="center" vertical="center"/>
      <protection locked="0"/>
    </xf>
    <xf numFmtId="0" fontId="75" fillId="4" borderId="3" xfId="0" applyFont="1" applyFill="1" applyBorder="1" applyAlignment="1" applyProtection="1">
      <alignment horizontal="center" vertical="center"/>
      <protection locked="0"/>
    </xf>
    <xf numFmtId="0" fontId="75" fillId="0" borderId="3" xfId="0" applyFont="1" applyBorder="1" applyAlignment="1" applyProtection="1">
      <alignment horizontal="center" vertical="center"/>
      <protection locked="0"/>
    </xf>
    <xf numFmtId="0" fontId="75" fillId="0" borderId="4" xfId="0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4" borderId="5" xfId="0" applyFont="1" applyFill="1" applyBorder="1" applyAlignment="1" applyProtection="1">
      <alignment horizontal="center" vertical="center"/>
      <protection locked="0"/>
    </xf>
    <xf numFmtId="0" fontId="75" fillId="0" borderId="5" xfId="0" applyFont="1" applyBorder="1" applyAlignment="1" applyProtection="1">
      <alignment horizontal="center" vertical="center"/>
      <protection locked="0"/>
    </xf>
    <xf numFmtId="0" fontId="75" fillId="0" borderId="8" xfId="0" applyFont="1" applyBorder="1" applyAlignment="1" applyProtection="1">
      <alignment horizontal="center" vertical="center"/>
      <protection locked="0"/>
    </xf>
    <xf numFmtId="0" fontId="75" fillId="4" borderId="7" xfId="0" applyFont="1" applyFill="1" applyBorder="1" applyAlignment="1" applyProtection="1">
      <alignment horizontal="center" vertical="center"/>
      <protection locked="0"/>
    </xf>
    <xf numFmtId="0" fontId="75" fillId="4" borderId="8" xfId="0" applyFont="1" applyFill="1" applyBorder="1" applyAlignment="1" applyProtection="1">
      <alignment horizontal="center" vertical="center"/>
      <protection locked="0"/>
    </xf>
    <xf numFmtId="0" fontId="75" fillId="4" borderId="9" xfId="0" applyFont="1" applyFill="1" applyBorder="1" applyAlignment="1" applyProtection="1">
      <alignment horizontal="center" vertical="center"/>
      <protection locked="0"/>
    </xf>
    <xf numFmtId="0" fontId="75" fillId="4" borderId="6" xfId="0" applyFont="1" applyFill="1" applyBorder="1" applyAlignment="1" applyProtection="1">
      <alignment horizontal="center" vertical="center"/>
      <protection locked="0"/>
    </xf>
    <xf numFmtId="0" fontId="75" fillId="0" borderId="9" xfId="0" applyFont="1" applyBorder="1" applyAlignment="1" applyProtection="1">
      <alignment horizontal="center" vertical="center"/>
      <protection locked="0"/>
    </xf>
    <xf numFmtId="0" fontId="75" fillId="4" borderId="2" xfId="0" applyFont="1" applyFill="1" applyBorder="1" applyAlignment="1" applyProtection="1">
      <alignment horizontal="center" vertical="center"/>
      <protection locked="0"/>
    </xf>
    <xf numFmtId="0" fontId="75" fillId="0" borderId="6" xfId="0" applyFont="1" applyBorder="1" applyAlignment="1" applyProtection="1">
      <alignment horizontal="center" vertical="center" wrapText="1"/>
      <protection locked="0"/>
    </xf>
    <xf numFmtId="0" fontId="75" fillId="0" borderId="7" xfId="0" applyFont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86A38"/>
      <color rgb="FFB70DA3"/>
      <color rgb="FFFFFF99"/>
      <color rgb="FF1951C1"/>
      <color rgb="FFBD2E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171450</xdr:colOff>
      <xdr:row>3</xdr:row>
      <xdr:rowOff>19050</xdr:rowOff>
    </xdr:from>
    <xdr:to>
      <xdr:col>11</xdr:col>
      <xdr:colOff>323850</xdr:colOff>
      <xdr:row>8</xdr:row>
      <xdr:rowOff>381977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162050"/>
          <a:ext cx="2590800" cy="2325077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7</xdr:col>
      <xdr:colOff>371475</xdr:colOff>
      <xdr:row>12</xdr:row>
      <xdr:rowOff>76200</xdr:rowOff>
    </xdr:from>
    <xdr:to>
      <xdr:col>12</xdr:col>
      <xdr:colOff>47625</xdr:colOff>
      <xdr:row>15</xdr:row>
      <xdr:rowOff>199367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8675" y="4648200"/>
          <a:ext cx="2724150" cy="1323317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6</xdr:col>
      <xdr:colOff>9525</xdr:colOff>
      <xdr:row>20</xdr:row>
      <xdr:rowOff>270659</xdr:rowOff>
    </xdr:from>
    <xdr:to>
      <xdr:col>12</xdr:col>
      <xdr:colOff>76200</xdr:colOff>
      <xdr:row>23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890659"/>
          <a:ext cx="3724275" cy="9199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600076</xdr:colOff>
      <xdr:row>24</xdr:row>
      <xdr:rowOff>171451</xdr:rowOff>
    </xdr:from>
    <xdr:to>
      <xdr:col>12</xdr:col>
      <xdr:colOff>144003</xdr:colOff>
      <xdr:row>32</xdr:row>
      <xdr:rowOff>304801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6" y="9315451"/>
          <a:ext cx="3811127" cy="3181350"/>
        </a:xfrm>
        <a:prstGeom prst="rect">
          <a:avLst/>
        </a:prstGeom>
        <a:solidFill>
          <a:schemeClr val="bg1"/>
        </a:solidFill>
        <a:extLst/>
      </xdr:spPr>
    </xdr:pic>
    <xdr:clientData/>
  </xdr:twoCellAnchor>
  <xdr:twoCellAnchor editAs="oneCell">
    <xdr:from>
      <xdr:col>7</xdr:col>
      <xdr:colOff>428625</xdr:colOff>
      <xdr:row>37</xdr:row>
      <xdr:rowOff>361950</xdr:rowOff>
    </xdr:from>
    <xdr:to>
      <xdr:col>11</xdr:col>
      <xdr:colOff>438150</xdr:colOff>
      <xdr:row>39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14077950"/>
          <a:ext cx="244792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238125</xdr:colOff>
      <xdr:row>40</xdr:row>
      <xdr:rowOff>19050</xdr:rowOff>
    </xdr:from>
    <xdr:to>
      <xdr:col>11</xdr:col>
      <xdr:colOff>47625</xdr:colOff>
      <xdr:row>43</xdr:row>
      <xdr:rowOff>22052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5" y="14878050"/>
          <a:ext cx="1638300" cy="114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542925</xdr:colOff>
      <xdr:row>44</xdr:row>
      <xdr:rowOff>28575</xdr:rowOff>
    </xdr:from>
    <xdr:to>
      <xdr:col>10</xdr:col>
      <xdr:colOff>352424</xdr:colOff>
      <xdr:row>47</xdr:row>
      <xdr:rowOff>31577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6411575"/>
          <a:ext cx="1638299" cy="1146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3</xdr:row>
          <xdr:rowOff>60960</xdr:rowOff>
        </xdr:from>
        <xdr:to>
          <xdr:col>16</xdr:col>
          <xdr:colOff>495300</xdr:colOff>
          <xdr:row>3</xdr:row>
          <xdr:rowOff>396240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83820</xdr:rowOff>
        </xdr:from>
        <xdr:to>
          <xdr:col>13</xdr:col>
          <xdr:colOff>617220</xdr:colOff>
          <xdr:row>4</xdr:row>
          <xdr:rowOff>373380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Increase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12</xdr:row>
          <xdr:rowOff>129540</xdr:rowOff>
        </xdr:from>
        <xdr:to>
          <xdr:col>5</xdr:col>
          <xdr:colOff>102870</xdr:colOff>
          <xdr:row>12</xdr:row>
          <xdr:rowOff>434340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the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15</xdr:row>
          <xdr:rowOff>114300</xdr:rowOff>
        </xdr:from>
        <xdr:to>
          <xdr:col>10</xdr:col>
          <xdr:colOff>464820</xdr:colOff>
          <xdr:row>15</xdr:row>
          <xdr:rowOff>365760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the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129540</xdr:colOff>
          <xdr:row>3</xdr:row>
          <xdr:rowOff>68580</xdr:rowOff>
        </xdr:from>
        <xdr:to>
          <xdr:col>27</xdr:col>
          <xdr:colOff>403860</xdr:colOff>
          <xdr:row>3</xdr:row>
          <xdr:rowOff>434340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POSSIBLES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12</xdr:row>
          <xdr:rowOff>60960</xdr:rowOff>
        </xdr:from>
        <xdr:to>
          <xdr:col>2</xdr:col>
          <xdr:colOff>464820</xdr:colOff>
          <xdr:row>12</xdr:row>
          <xdr:rowOff>472440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12</xdr:row>
          <xdr:rowOff>144780</xdr:rowOff>
        </xdr:from>
        <xdr:to>
          <xdr:col>8</xdr:col>
          <xdr:colOff>419100</xdr:colOff>
          <xdr:row>12</xdr:row>
          <xdr:rowOff>472440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12</xdr:row>
          <xdr:rowOff>129540</xdr:rowOff>
        </xdr:from>
        <xdr:to>
          <xdr:col>7</xdr:col>
          <xdr:colOff>419100</xdr:colOff>
          <xdr:row>12</xdr:row>
          <xdr:rowOff>495300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12</xdr:row>
          <xdr:rowOff>121920</xdr:rowOff>
        </xdr:from>
        <xdr:to>
          <xdr:col>6</xdr:col>
          <xdr:colOff>434340</xdr:colOff>
          <xdr:row>12</xdr:row>
          <xdr:rowOff>480060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12</xdr:row>
          <xdr:rowOff>129540</xdr:rowOff>
        </xdr:from>
        <xdr:to>
          <xdr:col>9</xdr:col>
          <xdr:colOff>419100</xdr:colOff>
          <xdr:row>12</xdr:row>
          <xdr:rowOff>464820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13</xdr:row>
          <xdr:rowOff>83820</xdr:rowOff>
        </xdr:from>
        <xdr:to>
          <xdr:col>9</xdr:col>
          <xdr:colOff>403860</xdr:colOff>
          <xdr:row>13</xdr:row>
          <xdr:rowOff>396240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91440</xdr:colOff>
          <xdr:row>14</xdr:row>
          <xdr:rowOff>60960</xdr:rowOff>
        </xdr:from>
        <xdr:to>
          <xdr:col>23</xdr:col>
          <xdr:colOff>548640</xdr:colOff>
          <xdr:row>14</xdr:row>
          <xdr:rowOff>403860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Horiz &amp; Vert  Exclusions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15</xdr:row>
          <xdr:rowOff>114300</xdr:rowOff>
        </xdr:from>
        <xdr:to>
          <xdr:col>7</xdr:col>
          <xdr:colOff>457200</xdr:colOff>
          <xdr:row>15</xdr:row>
          <xdr:rowOff>365760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3</xdr:row>
          <xdr:rowOff>114300</xdr:rowOff>
        </xdr:from>
        <xdr:to>
          <xdr:col>24</xdr:col>
          <xdr:colOff>464820</xdr:colOff>
          <xdr:row>3</xdr:row>
          <xdr:rowOff>350520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27</xdr:row>
          <xdr:rowOff>175260</xdr:rowOff>
        </xdr:from>
        <xdr:to>
          <xdr:col>16</xdr:col>
          <xdr:colOff>510540</xdr:colOff>
          <xdr:row>27</xdr:row>
          <xdr:rowOff>472440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Storage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182880</xdr:colOff>
          <xdr:row>14</xdr:row>
          <xdr:rowOff>60960</xdr:rowOff>
        </xdr:from>
        <xdr:to>
          <xdr:col>26</xdr:col>
          <xdr:colOff>419100</xdr:colOff>
          <xdr:row>14</xdr:row>
          <xdr:rowOff>388620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 Pairs Exclusions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193261</xdr:colOff>
      <xdr:row>2</xdr:row>
      <xdr:rowOff>179457</xdr:rowOff>
    </xdr:from>
    <xdr:to>
      <xdr:col>12</xdr:col>
      <xdr:colOff>289891</xdr:colOff>
      <xdr:row>2</xdr:row>
      <xdr:rowOff>386522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80978" y="1256196"/>
          <a:ext cx="704022" cy="207065"/>
        </a:xfrm>
        <a:prstGeom prst="rightArrow">
          <a:avLst/>
        </a:prstGeom>
        <a:solidFill>
          <a:srgbClr val="FFFF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13</xdr:row>
          <xdr:rowOff>76200</xdr:rowOff>
        </xdr:from>
        <xdr:to>
          <xdr:col>4</xdr:col>
          <xdr:colOff>190500</xdr:colOff>
          <xdr:row>13</xdr:row>
          <xdr:rowOff>365760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 Stored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304800</xdr:colOff>
          <xdr:row>16</xdr:row>
          <xdr:rowOff>106680</xdr:rowOff>
        </xdr:from>
        <xdr:to>
          <xdr:col>27</xdr:col>
          <xdr:colOff>541020</xdr:colOff>
          <xdr:row>16</xdr:row>
          <xdr:rowOff>381000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1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Unique Values in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106680</xdr:colOff>
          <xdr:row>18</xdr:row>
          <xdr:rowOff>175260</xdr:rowOff>
        </xdr:from>
        <xdr:to>
          <xdr:col>28</xdr:col>
          <xdr:colOff>525780</xdr:colOff>
          <xdr:row>24</xdr:row>
          <xdr:rowOff>266700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1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Unique Values in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129540</xdr:colOff>
          <xdr:row>16</xdr:row>
          <xdr:rowOff>83820</xdr:rowOff>
        </xdr:from>
        <xdr:to>
          <xdr:col>22</xdr:col>
          <xdr:colOff>472440</xdr:colOff>
          <xdr:row>16</xdr:row>
          <xdr:rowOff>365760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1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144780</xdr:colOff>
          <xdr:row>1</xdr:row>
          <xdr:rowOff>91440</xdr:rowOff>
        </xdr:from>
        <xdr:to>
          <xdr:col>24</xdr:col>
          <xdr:colOff>419100</xdr:colOff>
          <xdr:row>1</xdr:row>
          <xdr:rowOff>342900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1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Tables and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274320</xdr:colOff>
          <xdr:row>5</xdr:row>
          <xdr:rowOff>83820</xdr:rowOff>
        </xdr:from>
        <xdr:to>
          <xdr:col>17</xdr:col>
          <xdr:colOff>480060</xdr:colOff>
          <xdr:row>5</xdr:row>
          <xdr:rowOff>373380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1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6</xdr:row>
          <xdr:rowOff>76200</xdr:rowOff>
        </xdr:from>
        <xdr:to>
          <xdr:col>17</xdr:col>
          <xdr:colOff>518160</xdr:colOff>
          <xdr:row>6</xdr:row>
          <xdr:rowOff>381000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1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91440</xdr:rowOff>
        </xdr:from>
        <xdr:to>
          <xdr:col>12</xdr:col>
          <xdr:colOff>586740</xdr:colOff>
          <xdr:row>1</xdr:row>
          <xdr:rowOff>373380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1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Ribbon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52</xdr:row>
          <xdr:rowOff>0</xdr:rowOff>
        </xdr:from>
        <xdr:to>
          <xdr:col>6</xdr:col>
          <xdr:colOff>22860</xdr:colOff>
          <xdr:row>53</xdr:row>
          <xdr:rowOff>327660</xdr:rowOff>
        </xdr:to>
        <xdr:sp macro="" textlink="">
          <xdr:nvSpPr>
            <xdr:cNvPr id="7196" name="Button 28" descr="PLAY ALL SOUNDS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1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ALL SOUNDS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40</xdr:row>
      <xdr:rowOff>0</xdr:rowOff>
    </xdr:from>
    <xdr:to>
      <xdr:col>4</xdr:col>
      <xdr:colOff>4114057</xdr:colOff>
      <xdr:row>64</xdr:row>
      <xdr:rowOff>161333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439150"/>
          <a:ext cx="5942857" cy="4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javascript:AppendPopup(this,'xldefArray_1_1')" TargetMode="External"/><Relationship Id="rId1" Type="http://schemas.openxmlformats.org/officeDocument/2006/relationships/hyperlink" Target="ms-help://MS.EXCEL.DEV.14.1033/EXCEL.DEV/content/HV10331892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51"/>
  <sheetViews>
    <sheetView topLeftCell="A3" workbookViewId="0">
      <selection activeCell="O46" sqref="O46"/>
    </sheetView>
  </sheetViews>
  <sheetFormatPr defaultColWidth="9.109375" defaultRowHeight="30" x14ac:dyDescent="0.5"/>
  <cols>
    <col min="1" max="13" width="9.109375" style="85"/>
    <col min="14" max="14" width="3.5546875" style="85" customWidth="1"/>
    <col min="15" max="16384" width="9.109375" style="85"/>
  </cols>
  <sheetData>
    <row r="1" spans="1:16" x14ac:dyDescent="0.5">
      <c r="A1" s="85" t="s">
        <v>109</v>
      </c>
      <c r="N1" s="187"/>
    </row>
    <row r="2" spans="1:16" x14ac:dyDescent="0.5">
      <c r="A2" s="85" t="s">
        <v>88</v>
      </c>
      <c r="N2" s="187"/>
    </row>
    <row r="3" spans="1:16" x14ac:dyDescent="0.5">
      <c r="N3" s="187"/>
      <c r="O3" s="205" t="s">
        <v>176</v>
      </c>
    </row>
    <row r="4" spans="1:16" ht="34.799999999999997" x14ac:dyDescent="0.5">
      <c r="A4" s="85" t="s">
        <v>91</v>
      </c>
      <c r="N4" s="187"/>
      <c r="O4" s="63" t="s">
        <v>78</v>
      </c>
      <c r="P4" s="85" t="s">
        <v>179</v>
      </c>
    </row>
    <row r="5" spans="1:16" x14ac:dyDescent="0.5">
      <c r="A5" s="85" t="s">
        <v>99</v>
      </c>
      <c r="N5" s="187"/>
      <c r="O5" s="85" t="s">
        <v>180</v>
      </c>
    </row>
    <row r="6" spans="1:16" x14ac:dyDescent="0.5">
      <c r="A6" s="85" t="s">
        <v>118</v>
      </c>
      <c r="N6" s="187"/>
      <c r="O6" s="85" t="s">
        <v>181</v>
      </c>
    </row>
    <row r="7" spans="1:16" x14ac:dyDescent="0.5">
      <c r="A7" s="85" t="s">
        <v>90</v>
      </c>
      <c r="N7" s="187"/>
      <c r="O7" s="85" t="s">
        <v>182</v>
      </c>
    </row>
    <row r="8" spans="1:16" x14ac:dyDescent="0.5">
      <c r="A8" s="85" t="s">
        <v>89</v>
      </c>
      <c r="N8" s="187"/>
      <c r="O8" s="85" t="s">
        <v>183</v>
      </c>
    </row>
    <row r="9" spans="1:16" ht="34.799999999999997" x14ac:dyDescent="0.5">
      <c r="A9" s="85" t="s">
        <v>119</v>
      </c>
      <c r="N9" s="187"/>
      <c r="O9" s="204" t="s">
        <v>79</v>
      </c>
      <c r="P9" s="85" t="s">
        <v>184</v>
      </c>
    </row>
    <row r="10" spans="1:16" x14ac:dyDescent="0.5">
      <c r="N10" s="187"/>
      <c r="O10" s="85" t="s">
        <v>185</v>
      </c>
    </row>
    <row r="11" spans="1:16" ht="34.799999999999997" x14ac:dyDescent="0.5">
      <c r="A11" s="85" t="s">
        <v>92</v>
      </c>
      <c r="N11" s="187"/>
      <c r="O11" s="204" t="s">
        <v>80</v>
      </c>
      <c r="P11" s="85" t="s">
        <v>186</v>
      </c>
    </row>
    <row r="12" spans="1:16" x14ac:dyDescent="0.5">
      <c r="A12" s="85" t="s">
        <v>100</v>
      </c>
      <c r="N12" s="187"/>
      <c r="O12" s="85" t="s">
        <v>187</v>
      </c>
    </row>
    <row r="13" spans="1:16" x14ac:dyDescent="0.5">
      <c r="A13" s="85" t="s">
        <v>101</v>
      </c>
      <c r="N13" s="187"/>
      <c r="O13" s="85" t="s">
        <v>188</v>
      </c>
    </row>
    <row r="14" spans="1:16" x14ac:dyDescent="0.5">
      <c r="A14" s="85" t="s">
        <v>131</v>
      </c>
      <c r="N14" s="187"/>
      <c r="O14" s="85" t="s">
        <v>189</v>
      </c>
    </row>
    <row r="15" spans="1:16" ht="34.799999999999997" x14ac:dyDescent="0.5">
      <c r="A15" s="85" t="s">
        <v>132</v>
      </c>
      <c r="N15" s="187"/>
      <c r="O15" s="204" t="s">
        <v>81</v>
      </c>
      <c r="P15" s="85" t="s">
        <v>190</v>
      </c>
    </row>
    <row r="16" spans="1:16" x14ac:dyDescent="0.5">
      <c r="A16" s="85" t="s">
        <v>133</v>
      </c>
      <c r="N16" s="187"/>
      <c r="O16" s="85" t="s">
        <v>191</v>
      </c>
    </row>
    <row r="17" spans="1:16" ht="34.799999999999997" x14ac:dyDescent="0.5">
      <c r="A17" s="85" t="s">
        <v>134</v>
      </c>
      <c r="N17" s="187"/>
      <c r="O17" s="204" t="s">
        <v>82</v>
      </c>
      <c r="P17" s="85" t="s">
        <v>192</v>
      </c>
    </row>
    <row r="18" spans="1:16" x14ac:dyDescent="0.5">
      <c r="N18" s="187"/>
      <c r="O18" s="85" t="s">
        <v>193</v>
      </c>
    </row>
    <row r="19" spans="1:16" ht="34.799999999999997" x14ac:dyDescent="0.5">
      <c r="A19" s="85" t="s">
        <v>93</v>
      </c>
      <c r="N19" s="187"/>
      <c r="O19" s="204" t="s">
        <v>83</v>
      </c>
      <c r="P19" s="85" t="s">
        <v>194</v>
      </c>
    </row>
    <row r="20" spans="1:16" x14ac:dyDescent="0.5">
      <c r="A20" s="85" t="s">
        <v>94</v>
      </c>
      <c r="N20" s="187"/>
      <c r="O20" s="85" t="s">
        <v>195</v>
      </c>
    </row>
    <row r="21" spans="1:16" x14ac:dyDescent="0.5">
      <c r="A21" s="85" t="s">
        <v>95</v>
      </c>
      <c r="N21" s="187"/>
      <c r="O21" s="85" t="s">
        <v>196</v>
      </c>
    </row>
    <row r="22" spans="1:16" x14ac:dyDescent="0.5">
      <c r="A22" s="85" t="s">
        <v>96</v>
      </c>
      <c r="N22" s="187"/>
      <c r="O22" s="85" t="s">
        <v>197</v>
      </c>
    </row>
    <row r="23" spans="1:16" x14ac:dyDescent="0.5">
      <c r="A23" s="85" t="s">
        <v>97</v>
      </c>
      <c r="N23" s="187"/>
      <c r="O23" s="85" t="s">
        <v>198</v>
      </c>
    </row>
    <row r="24" spans="1:16" ht="34.799999999999997" x14ac:dyDescent="0.5">
      <c r="A24" s="85" t="s">
        <v>98</v>
      </c>
      <c r="N24" s="187"/>
      <c r="O24" s="204" t="s">
        <v>84</v>
      </c>
      <c r="P24" s="85" t="s">
        <v>199</v>
      </c>
    </row>
    <row r="25" spans="1:16" x14ac:dyDescent="0.5">
      <c r="A25" s="85" t="s">
        <v>102</v>
      </c>
      <c r="N25" s="187"/>
      <c r="O25" s="85" t="s">
        <v>200</v>
      </c>
    </row>
    <row r="26" spans="1:16" x14ac:dyDescent="0.5">
      <c r="A26" s="85" t="s">
        <v>103</v>
      </c>
      <c r="N26" s="187"/>
      <c r="O26" s="85" t="s">
        <v>201</v>
      </c>
    </row>
    <row r="27" spans="1:16" x14ac:dyDescent="0.5">
      <c r="A27" s="85" t="s">
        <v>104</v>
      </c>
      <c r="N27" s="187"/>
      <c r="O27" s="85" t="s">
        <v>202</v>
      </c>
    </row>
    <row r="28" spans="1:16" x14ac:dyDescent="0.5">
      <c r="A28" s="85" t="s">
        <v>105</v>
      </c>
      <c r="N28" s="187"/>
      <c r="O28" s="85" t="s">
        <v>203</v>
      </c>
    </row>
    <row r="29" spans="1:16" x14ac:dyDescent="0.5">
      <c r="N29" s="187"/>
      <c r="O29" s="85" t="s">
        <v>204</v>
      </c>
    </row>
    <row r="30" spans="1:16" x14ac:dyDescent="0.5">
      <c r="A30" s="85" t="s">
        <v>120</v>
      </c>
      <c r="N30" s="187"/>
    </row>
    <row r="31" spans="1:16" x14ac:dyDescent="0.5">
      <c r="A31" s="85" t="s">
        <v>121</v>
      </c>
      <c r="N31" s="187"/>
      <c r="O31" s="210" t="s">
        <v>205</v>
      </c>
    </row>
    <row r="32" spans="1:16" x14ac:dyDescent="0.5">
      <c r="A32" s="85" t="s">
        <v>106</v>
      </c>
      <c r="N32" s="187"/>
      <c r="O32" s="85" t="s">
        <v>208</v>
      </c>
    </row>
    <row r="33" spans="1:15" x14ac:dyDescent="0.5">
      <c r="A33" s="85" t="s">
        <v>107</v>
      </c>
      <c r="N33" s="187"/>
      <c r="O33" s="85" t="s">
        <v>209</v>
      </c>
    </row>
    <row r="34" spans="1:15" x14ac:dyDescent="0.5">
      <c r="A34" s="85" t="s">
        <v>108</v>
      </c>
      <c r="N34" s="187"/>
      <c r="O34" s="85" t="s">
        <v>210</v>
      </c>
    </row>
    <row r="35" spans="1:15" x14ac:dyDescent="0.5">
      <c r="A35" s="85" t="s">
        <v>206</v>
      </c>
      <c r="N35" s="187"/>
      <c r="O35" s="85" t="s">
        <v>211</v>
      </c>
    </row>
    <row r="36" spans="1:15" x14ac:dyDescent="0.5">
      <c r="B36" s="85" t="s">
        <v>207</v>
      </c>
      <c r="N36" s="187"/>
      <c r="O36" s="85" t="s">
        <v>212</v>
      </c>
    </row>
    <row r="37" spans="1:15" x14ac:dyDescent="0.5">
      <c r="A37" s="85" t="s">
        <v>110</v>
      </c>
      <c r="N37" s="187"/>
      <c r="O37" s="85" t="s">
        <v>213</v>
      </c>
    </row>
    <row r="38" spans="1:15" x14ac:dyDescent="0.5">
      <c r="A38" s="85" t="s">
        <v>111</v>
      </c>
      <c r="N38" s="187"/>
      <c r="O38" s="85" t="s">
        <v>214</v>
      </c>
    </row>
    <row r="39" spans="1:15" x14ac:dyDescent="0.5">
      <c r="A39" s="85" t="s">
        <v>112</v>
      </c>
      <c r="N39" s="187"/>
      <c r="O39" s="85" t="s">
        <v>215</v>
      </c>
    </row>
    <row r="40" spans="1:15" x14ac:dyDescent="0.5">
      <c r="A40" s="85" t="s">
        <v>122</v>
      </c>
      <c r="N40" s="187"/>
    </row>
    <row r="41" spans="1:15" x14ac:dyDescent="0.5">
      <c r="A41" s="85" t="s">
        <v>123</v>
      </c>
      <c r="N41" s="187"/>
      <c r="O41" s="85" t="s">
        <v>216</v>
      </c>
    </row>
    <row r="42" spans="1:15" x14ac:dyDescent="0.5">
      <c r="A42" s="85" t="s">
        <v>125</v>
      </c>
      <c r="N42" s="187"/>
      <c r="O42" s="85" t="s">
        <v>217</v>
      </c>
    </row>
    <row r="43" spans="1:15" x14ac:dyDescent="0.5">
      <c r="A43" s="85" t="s">
        <v>113</v>
      </c>
      <c r="N43" s="187"/>
      <c r="O43" s="85" t="s">
        <v>218</v>
      </c>
    </row>
    <row r="44" spans="1:15" x14ac:dyDescent="0.5">
      <c r="A44" s="85" t="s">
        <v>114</v>
      </c>
      <c r="N44" s="187"/>
      <c r="O44" s="85" t="s">
        <v>219</v>
      </c>
    </row>
    <row r="45" spans="1:15" x14ac:dyDescent="0.5">
      <c r="A45" s="85" t="s">
        <v>115</v>
      </c>
      <c r="N45" s="187"/>
      <c r="O45" s="85" t="s">
        <v>220</v>
      </c>
    </row>
    <row r="46" spans="1:15" x14ac:dyDescent="0.5">
      <c r="A46" s="85" t="s">
        <v>135</v>
      </c>
      <c r="N46" s="187"/>
      <c r="O46" s="85" t="s">
        <v>221</v>
      </c>
    </row>
    <row r="47" spans="1:15" x14ac:dyDescent="0.5">
      <c r="A47" s="85" t="s">
        <v>116</v>
      </c>
      <c r="N47" s="187"/>
    </row>
    <row r="48" spans="1:15" x14ac:dyDescent="0.5">
      <c r="N48" s="187"/>
    </row>
    <row r="49" spans="1:14" x14ac:dyDescent="0.5">
      <c r="A49" s="85" t="s">
        <v>117</v>
      </c>
      <c r="N49" s="187"/>
    </row>
    <row r="50" spans="1:14" x14ac:dyDescent="0.5">
      <c r="N50" s="187"/>
    </row>
    <row r="51" spans="1:14" x14ac:dyDescent="0.5">
      <c r="A51" s="85" t="s">
        <v>124</v>
      </c>
      <c r="N51" s="18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N61"/>
  <sheetViews>
    <sheetView tabSelected="1" defaultGridColor="0" colorId="12" zoomScale="65" zoomScaleNormal="65" workbookViewId="0">
      <selection activeCell="A2" sqref="A2"/>
    </sheetView>
  </sheetViews>
  <sheetFormatPr defaultRowHeight="14.4" x14ac:dyDescent="0.3"/>
  <cols>
    <col min="1" max="1" width="10.33203125" customWidth="1"/>
    <col min="2" max="4" width="7.44140625" customWidth="1"/>
    <col min="5" max="5" width="8.33203125" customWidth="1"/>
    <col min="6" max="10" width="7.44140625" customWidth="1"/>
    <col min="11" max="11" width="7.5546875" customWidth="1"/>
    <col min="13" max="13" width="10.109375" customWidth="1"/>
    <col min="14" max="14" width="11.109375" customWidth="1"/>
    <col min="15" max="15" width="13.109375" customWidth="1"/>
    <col min="16" max="16" width="9.33203125" customWidth="1"/>
    <col min="18" max="18" width="11.44140625" customWidth="1"/>
    <col min="19" max="19" width="12.109375" customWidth="1"/>
    <col min="20" max="28" width="10.33203125" customWidth="1"/>
    <col min="40" max="40" width="17.88671875" customWidth="1"/>
  </cols>
  <sheetData>
    <row r="1" spans="1:33" ht="42" customHeight="1" thickBot="1" x14ac:dyDescent="0.35">
      <c r="A1" s="336" t="s">
        <v>229</v>
      </c>
      <c r="B1" s="337"/>
      <c r="C1" s="337"/>
      <c r="D1" s="337"/>
      <c r="E1" s="337"/>
      <c r="F1" s="337"/>
      <c r="G1" s="337"/>
      <c r="H1" s="337"/>
      <c r="I1" s="337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4" t="s">
        <v>227</v>
      </c>
      <c r="AA1" s="334"/>
      <c r="AB1" s="335"/>
      <c r="AC1" t="s">
        <v>228</v>
      </c>
    </row>
    <row r="2" spans="1:33" ht="35.25" customHeight="1" thickBot="1" x14ac:dyDescent="0.7">
      <c r="A2" s="283" t="s">
        <v>50</v>
      </c>
      <c r="B2" s="339" t="s">
        <v>24</v>
      </c>
      <c r="C2" s="340"/>
      <c r="D2" s="340"/>
      <c r="E2" s="340"/>
      <c r="F2" s="340"/>
      <c r="G2" s="340"/>
      <c r="H2" s="340"/>
      <c r="I2" s="340"/>
      <c r="J2" s="339"/>
      <c r="K2" s="211"/>
      <c r="L2" s="222"/>
      <c r="M2" s="223"/>
      <c r="N2" s="223"/>
      <c r="O2" s="223"/>
      <c r="P2" s="223"/>
      <c r="Q2" s="223"/>
      <c r="R2" s="224"/>
      <c r="U2" s="66"/>
      <c r="V2" s="66"/>
      <c r="W2" s="66"/>
      <c r="X2" s="66"/>
      <c r="Y2" s="66"/>
      <c r="Z2" s="355" t="s">
        <v>139</v>
      </c>
      <c r="AA2" s="355"/>
      <c r="AB2" s="178" t="s">
        <v>140</v>
      </c>
    </row>
    <row r="3" spans="1:33" ht="35.25" customHeight="1" thickBot="1" x14ac:dyDescent="0.6">
      <c r="A3" s="43" t="s">
        <v>35</v>
      </c>
      <c r="B3" s="44" t="s">
        <v>23</v>
      </c>
      <c r="C3" s="44" t="s">
        <v>20</v>
      </c>
      <c r="D3" s="44" t="s">
        <v>31</v>
      </c>
      <c r="E3" s="44" t="s">
        <v>25</v>
      </c>
      <c r="F3" s="44" t="s">
        <v>26</v>
      </c>
      <c r="G3" s="44" t="s">
        <v>27</v>
      </c>
      <c r="H3" s="44" t="s">
        <v>28</v>
      </c>
      <c r="I3" s="44" t="s">
        <v>29</v>
      </c>
      <c r="J3" s="44" t="s">
        <v>30</v>
      </c>
      <c r="K3" s="212"/>
      <c r="L3" s="196"/>
      <c r="M3" s="197"/>
      <c r="N3" s="23" t="s">
        <v>38</v>
      </c>
      <c r="O3" s="24" t="s">
        <v>39</v>
      </c>
      <c r="P3" s="247" t="s">
        <v>47</v>
      </c>
      <c r="Q3" s="248"/>
      <c r="R3" s="249"/>
      <c r="S3" s="250"/>
      <c r="T3" s="44" t="s">
        <v>23</v>
      </c>
      <c r="U3" s="44" t="s">
        <v>20</v>
      </c>
      <c r="V3" s="44" t="s">
        <v>31</v>
      </c>
      <c r="W3" s="44" t="s">
        <v>25</v>
      </c>
      <c r="X3" s="44" t="s">
        <v>26</v>
      </c>
      <c r="Y3" s="44" t="s">
        <v>27</v>
      </c>
      <c r="Z3" s="44" t="s">
        <v>28</v>
      </c>
      <c r="AA3" s="44" t="s">
        <v>29</v>
      </c>
      <c r="AB3" s="45" t="s">
        <v>30</v>
      </c>
    </row>
    <row r="4" spans="1:33" ht="37.5" customHeight="1" thickBot="1" x14ac:dyDescent="0.35">
      <c r="A4" s="37">
        <v>1</v>
      </c>
      <c r="B4" s="67"/>
      <c r="C4" s="68"/>
      <c r="D4" s="69"/>
      <c r="E4" s="70"/>
      <c r="F4" s="71"/>
      <c r="G4" s="72"/>
      <c r="H4" s="67"/>
      <c r="I4" s="68"/>
      <c r="J4" s="69"/>
      <c r="K4" s="213"/>
      <c r="L4" s="198" t="s">
        <v>22</v>
      </c>
      <c r="M4" s="157"/>
      <c r="N4" s="25" t="s">
        <v>23</v>
      </c>
      <c r="O4" s="156" t="s">
        <v>230</v>
      </c>
      <c r="P4" s="245"/>
      <c r="Q4" s="246"/>
      <c r="R4" s="221"/>
      <c r="S4" s="225"/>
      <c r="T4" s="12"/>
      <c r="U4" s="6" t="s">
        <v>15</v>
      </c>
      <c r="V4" s="7"/>
      <c r="W4" s="8"/>
      <c r="X4" s="15"/>
      <c r="Y4" s="15"/>
      <c r="Z4" s="11"/>
      <c r="AA4" s="11"/>
      <c r="AB4" s="11"/>
      <c r="AC4" s="63" t="s">
        <v>79</v>
      </c>
      <c r="AD4" s="3"/>
      <c r="AF4" s="86"/>
      <c r="AG4" s="1"/>
    </row>
    <row r="5" spans="1:33" ht="35.25" customHeight="1" thickBot="1" x14ac:dyDescent="0.35">
      <c r="A5" s="37">
        <v>2</v>
      </c>
      <c r="B5" s="73"/>
      <c r="C5" s="74"/>
      <c r="D5" s="75"/>
      <c r="E5" s="76"/>
      <c r="F5" s="77"/>
      <c r="G5" s="78"/>
      <c r="H5" s="73"/>
      <c r="I5" s="74"/>
      <c r="J5" s="75"/>
      <c r="K5" s="213"/>
      <c r="L5" s="217" t="s">
        <v>78</v>
      </c>
      <c r="M5" s="179"/>
      <c r="N5" s="180"/>
      <c r="O5" s="199">
        <v>3</v>
      </c>
      <c r="P5" s="219"/>
      <c r="Q5" s="219"/>
      <c r="R5" s="221"/>
      <c r="S5" s="191">
        <v>1</v>
      </c>
      <c r="T5" s="377"/>
      <c r="U5" s="309"/>
      <c r="V5" s="310"/>
      <c r="W5" s="311"/>
      <c r="X5" s="378"/>
      <c r="Y5" s="313"/>
      <c r="Z5" s="377"/>
      <c r="AA5" s="379"/>
      <c r="AB5" s="380"/>
      <c r="AC5" s="1"/>
      <c r="AE5" s="3"/>
      <c r="AF5" s="1"/>
      <c r="AG5" s="1"/>
    </row>
    <row r="6" spans="1:33" ht="35.25" customHeight="1" thickBot="1" x14ac:dyDescent="0.55000000000000004">
      <c r="A6" s="37">
        <v>3</v>
      </c>
      <c r="B6" s="79"/>
      <c r="C6" s="80"/>
      <c r="D6" s="81"/>
      <c r="E6" s="82"/>
      <c r="F6" s="83"/>
      <c r="G6" s="84"/>
      <c r="H6" s="79"/>
      <c r="I6" s="80"/>
      <c r="J6" s="81"/>
      <c r="K6" s="213"/>
      <c r="L6" s="218"/>
      <c r="M6" s="181" t="s">
        <v>13</v>
      </c>
      <c r="N6" s="182"/>
      <c r="O6" s="183"/>
      <c r="P6" s="220"/>
      <c r="Q6" s="200"/>
      <c r="R6" s="201"/>
      <c r="S6" s="191">
        <v>2</v>
      </c>
      <c r="T6" s="314"/>
      <c r="U6" s="381"/>
      <c r="V6" s="316"/>
      <c r="W6" s="382"/>
      <c r="X6" s="318"/>
      <c r="Y6" s="319"/>
      <c r="Z6" s="383"/>
      <c r="AA6" s="315"/>
      <c r="AB6" s="316"/>
      <c r="AC6" s="41"/>
      <c r="AD6" s="3"/>
      <c r="AF6" s="1"/>
      <c r="AG6" s="1"/>
    </row>
    <row r="7" spans="1:33" ht="35.25" customHeight="1" thickBot="1" x14ac:dyDescent="0.35">
      <c r="A7" s="37">
        <v>4</v>
      </c>
      <c r="B7" s="70"/>
      <c r="C7" s="71"/>
      <c r="D7" s="72"/>
      <c r="E7" s="67"/>
      <c r="F7" s="68"/>
      <c r="G7" s="69"/>
      <c r="H7" s="70"/>
      <c r="I7" s="71"/>
      <c r="J7" s="72"/>
      <c r="K7" s="213"/>
      <c r="L7" s="218"/>
      <c r="M7" s="331" t="str">
        <f ca="1">IF(INDIRECT(C45)&lt;"","GIVEN",SUBSTITUTE(CONCATENATE(R12," ",R13," ",R14," ",R15," ",R16," ",R17," ",R18," ",R19," ",R20)," ",""))</f>
        <v>123456789</v>
      </c>
      <c r="N7" s="332"/>
      <c r="O7" s="333"/>
      <c r="P7" s="220"/>
      <c r="Q7" s="202"/>
      <c r="R7" s="203"/>
      <c r="S7" s="191">
        <v>3</v>
      </c>
      <c r="T7" s="320"/>
      <c r="U7" s="384"/>
      <c r="V7" s="322"/>
      <c r="W7" s="385"/>
      <c r="X7" s="386"/>
      <c r="Y7" s="387"/>
      <c r="Z7" s="320"/>
      <c r="AA7" s="384"/>
      <c r="AB7" s="322"/>
      <c r="AC7" s="39"/>
      <c r="AD7" s="1"/>
      <c r="AE7" s="1"/>
      <c r="AF7" s="1"/>
      <c r="AG7" s="1"/>
    </row>
    <row r="8" spans="1:33" ht="35.25" customHeight="1" thickBot="1" x14ac:dyDescent="0.35">
      <c r="A8" s="37">
        <v>5</v>
      </c>
      <c r="B8" s="76"/>
      <c r="C8" s="77"/>
      <c r="D8" s="78"/>
      <c r="E8" s="73"/>
      <c r="F8" s="74"/>
      <c r="G8" s="75"/>
      <c r="H8" s="76"/>
      <c r="I8" s="77"/>
      <c r="J8" s="78"/>
      <c r="K8" s="213"/>
      <c r="L8" s="214"/>
      <c r="M8" s="215"/>
      <c r="N8" s="215"/>
      <c r="O8" s="215"/>
      <c r="P8" s="215"/>
      <c r="Q8" s="215"/>
      <c r="R8" s="216"/>
      <c r="S8" s="191">
        <v>4</v>
      </c>
      <c r="T8" s="311"/>
      <c r="U8" s="312"/>
      <c r="V8" s="313"/>
      <c r="W8" s="377"/>
      <c r="X8" s="379"/>
      <c r="Y8" s="310"/>
      <c r="Z8" s="311"/>
      <c r="AA8" s="312"/>
      <c r="AB8" s="313"/>
      <c r="AC8" s="40"/>
      <c r="AD8" s="1"/>
      <c r="AE8" s="3"/>
      <c r="AF8" s="1"/>
      <c r="AG8" s="1"/>
    </row>
    <row r="9" spans="1:33" ht="35.25" customHeight="1" thickBot="1" x14ac:dyDescent="0.35">
      <c r="A9" s="37">
        <v>6</v>
      </c>
      <c r="B9" s="82"/>
      <c r="C9" s="83"/>
      <c r="D9" s="84"/>
      <c r="E9" s="79"/>
      <c r="F9" s="80"/>
      <c r="G9" s="81"/>
      <c r="H9" s="82"/>
      <c r="I9" s="83"/>
      <c r="J9" s="84"/>
      <c r="K9" s="207"/>
      <c r="L9" s="116"/>
      <c r="M9" s="116"/>
      <c r="N9" s="192" t="s">
        <v>1</v>
      </c>
      <c r="O9" s="193"/>
      <c r="P9" s="193" t="str">
        <f ca="1">ADDRESS(E45,2)&amp;":"&amp;ADDRESS(E45,10)</f>
        <v>$B$4:$J$4</v>
      </c>
      <c r="Q9" s="194"/>
      <c r="R9" s="195"/>
      <c r="S9" s="37">
        <v>5</v>
      </c>
      <c r="T9" s="317"/>
      <c r="U9" s="318"/>
      <c r="V9" s="388"/>
      <c r="W9" s="314"/>
      <c r="X9" s="315"/>
      <c r="Y9" s="316"/>
      <c r="Z9" s="382"/>
      <c r="AA9" s="318"/>
      <c r="AB9" s="319"/>
      <c r="AC9" s="40"/>
      <c r="AD9" s="1"/>
      <c r="AE9" s="3"/>
      <c r="AF9" s="86"/>
      <c r="AG9" s="1"/>
    </row>
    <row r="10" spans="1:33" ht="38.25" customHeight="1" thickBot="1" x14ac:dyDescent="0.55000000000000004">
      <c r="A10" s="37">
        <v>7</v>
      </c>
      <c r="B10" s="67"/>
      <c r="C10" s="68"/>
      <c r="D10" s="69"/>
      <c r="E10" s="70"/>
      <c r="F10" s="71"/>
      <c r="G10" s="72"/>
      <c r="H10" s="67"/>
      <c r="I10" s="68"/>
      <c r="J10" s="69"/>
      <c r="K10" s="207"/>
      <c r="L10" s="116"/>
      <c r="M10" s="116"/>
      <c r="N10" s="123" t="s">
        <v>4</v>
      </c>
      <c r="O10" s="124"/>
      <c r="P10" s="124" t="str">
        <f ca="1">ADDRESS(4,D45)&amp;":"&amp;ADDRESS(12,D45)</f>
        <v>$B$4:$B$12</v>
      </c>
      <c r="Q10" s="125"/>
      <c r="R10" s="126"/>
      <c r="S10" s="37">
        <v>6</v>
      </c>
      <c r="T10" s="323"/>
      <c r="U10" s="324"/>
      <c r="V10" s="325"/>
      <c r="W10" s="320"/>
      <c r="X10" s="384"/>
      <c r="Y10" s="389"/>
      <c r="Z10" s="323"/>
      <c r="AA10" s="324"/>
      <c r="AB10" s="325"/>
      <c r="AC10" s="42"/>
      <c r="AD10" s="1"/>
      <c r="AE10" s="3"/>
      <c r="AF10" s="1"/>
      <c r="AG10" s="1"/>
    </row>
    <row r="11" spans="1:33" ht="35.25" customHeight="1" x14ac:dyDescent="0.5">
      <c r="A11" s="37">
        <v>8</v>
      </c>
      <c r="B11" s="73"/>
      <c r="C11" s="74"/>
      <c r="D11" s="75"/>
      <c r="E11" s="76"/>
      <c r="F11" s="77"/>
      <c r="G11" s="78"/>
      <c r="H11" s="73"/>
      <c r="I11" s="74"/>
      <c r="J11" s="75"/>
      <c r="K11" s="207"/>
      <c r="L11" s="116"/>
      <c r="M11" s="116"/>
      <c r="N11" s="87" t="s">
        <v>7</v>
      </c>
      <c r="O11" s="88" t="s">
        <v>2</v>
      </c>
      <c r="P11" s="89" t="s">
        <v>3</v>
      </c>
      <c r="Q11" s="90" t="s">
        <v>0</v>
      </c>
      <c r="R11" s="91" t="s">
        <v>19</v>
      </c>
      <c r="S11" s="37">
        <v>7</v>
      </c>
      <c r="T11" s="308"/>
      <c r="U11" s="379"/>
      <c r="V11" s="310"/>
      <c r="W11" s="390"/>
      <c r="X11" s="378"/>
      <c r="Y11" s="313"/>
      <c r="Z11" s="308"/>
      <c r="AA11" s="379"/>
      <c r="AB11" s="310"/>
      <c r="AC11" s="42"/>
      <c r="AD11" s="1"/>
      <c r="AE11" s="3"/>
      <c r="AF11" s="1"/>
      <c r="AG11" s="1"/>
    </row>
    <row r="12" spans="1:33" ht="35.25" customHeight="1" thickBot="1" x14ac:dyDescent="0.35">
      <c r="A12" s="38">
        <v>9</v>
      </c>
      <c r="B12" s="79"/>
      <c r="C12" s="80"/>
      <c r="D12" s="81"/>
      <c r="E12" s="82"/>
      <c r="F12" s="83"/>
      <c r="G12" s="84"/>
      <c r="H12" s="79"/>
      <c r="I12" s="80"/>
      <c r="J12" s="81"/>
      <c r="K12" s="207"/>
      <c r="L12" s="116"/>
      <c r="M12" s="116"/>
      <c r="N12" s="92">
        <v>1</v>
      </c>
      <c r="O12" s="93" t="str">
        <f t="shared" ref="O12:O20" ca="1" si="0">IFERROR(MATCH(N12,INDIRECT($P$9),0),"0")</f>
        <v>0</v>
      </c>
      <c r="P12" s="93" t="str">
        <f t="shared" ref="P12:P20" ca="1" si="1">IFERROR(MATCH(N12,INDIRECT($P$10),0),"0")</f>
        <v>0</v>
      </c>
      <c r="Q12" s="93">
        <f t="shared" ref="Q12:Q20" ca="1" si="2">COUNTIF(INDIRECT($I$51),N12)</f>
        <v>0</v>
      </c>
      <c r="R12" s="94">
        <f t="shared" ref="R12:R20" ca="1" si="3" xml:space="preserve"> IF(SUM(O12:Q12)&gt;0,"",N12)</f>
        <v>1</v>
      </c>
      <c r="S12" s="37">
        <v>8</v>
      </c>
      <c r="T12" s="314"/>
      <c r="U12" s="315"/>
      <c r="V12" s="391"/>
      <c r="W12" s="317"/>
      <c r="X12" s="318"/>
      <c r="Y12" s="388"/>
      <c r="Z12" s="314"/>
      <c r="AA12" s="381"/>
      <c r="AB12" s="316"/>
      <c r="AC12" s="40"/>
      <c r="AD12" s="1"/>
      <c r="AE12" s="3"/>
      <c r="AF12" s="1"/>
      <c r="AG12" s="1"/>
    </row>
    <row r="13" spans="1:33" ht="44.25" customHeight="1" thickBot="1" x14ac:dyDescent="0.6">
      <c r="A13" s="117"/>
      <c r="B13" s="302"/>
      <c r="C13" s="302"/>
      <c r="D13" s="303"/>
      <c r="E13" s="303"/>
      <c r="F13" s="118" t="s">
        <v>14</v>
      </c>
      <c r="G13" s="306"/>
      <c r="H13" s="307"/>
      <c r="I13" s="304"/>
      <c r="J13" s="305" t="s">
        <v>169</v>
      </c>
      <c r="K13" s="209" t="s">
        <v>84</v>
      </c>
      <c r="L13" s="116"/>
      <c r="M13" s="116"/>
      <c r="N13" s="95">
        <v>2</v>
      </c>
      <c r="O13" s="93" t="str">
        <f t="shared" ca="1" si="0"/>
        <v>0</v>
      </c>
      <c r="P13" s="93" t="str">
        <f t="shared" ca="1" si="1"/>
        <v>0</v>
      </c>
      <c r="Q13" s="93">
        <f t="shared" ca="1" si="2"/>
        <v>0</v>
      </c>
      <c r="R13" s="94">
        <f t="shared" ca="1" si="3"/>
        <v>2</v>
      </c>
      <c r="S13" s="38">
        <v>9</v>
      </c>
      <c r="T13" s="392"/>
      <c r="U13" s="384"/>
      <c r="V13" s="389"/>
      <c r="W13" s="323"/>
      <c r="X13" s="386"/>
      <c r="Y13" s="325"/>
      <c r="Z13" s="320"/>
      <c r="AA13" s="321"/>
      <c r="AB13" s="389"/>
      <c r="AC13" s="40"/>
      <c r="AD13" s="1"/>
      <c r="AE13" s="3"/>
      <c r="AF13" s="1"/>
      <c r="AG13" s="1"/>
    </row>
    <row r="14" spans="1:33" ht="36.9" customHeight="1" thickBot="1" x14ac:dyDescent="1.1499999999999999">
      <c r="A14" s="119"/>
      <c r="B14" s="120"/>
      <c r="C14" s="120"/>
      <c r="D14" s="120"/>
      <c r="E14" s="120"/>
      <c r="F14" s="121" t="s">
        <v>48</v>
      </c>
      <c r="G14" s="122">
        <f>COUNT(B4:J12)</f>
        <v>0</v>
      </c>
      <c r="H14" s="121" t="s">
        <v>49</v>
      </c>
      <c r="I14" s="122">
        <f>COUNTBLANK(B4:J12)</f>
        <v>81</v>
      </c>
      <c r="J14" s="206" t="s">
        <v>169</v>
      </c>
      <c r="K14" s="208"/>
      <c r="L14" s="116"/>
      <c r="M14" s="116"/>
      <c r="N14" s="96">
        <v>3</v>
      </c>
      <c r="O14" s="93" t="str">
        <f t="shared" ca="1" si="0"/>
        <v>0</v>
      </c>
      <c r="P14" s="93" t="str">
        <f t="shared" ca="1" si="1"/>
        <v>0</v>
      </c>
      <c r="Q14" s="93">
        <f t="shared" ca="1" si="2"/>
        <v>0</v>
      </c>
      <c r="R14" s="94">
        <f t="shared" ca="1" si="3"/>
        <v>3</v>
      </c>
      <c r="S14" s="226"/>
      <c r="T14" s="49" t="s">
        <v>16</v>
      </c>
      <c r="U14" s="50"/>
      <c r="V14" s="50"/>
      <c r="W14" s="50"/>
      <c r="X14" s="50"/>
      <c r="Y14" s="50"/>
      <c r="Z14" s="50"/>
      <c r="AA14" s="50"/>
      <c r="AB14" s="52"/>
      <c r="AC14" s="40"/>
      <c r="AD14" s="1"/>
      <c r="AE14" s="3"/>
      <c r="AF14" s="1"/>
      <c r="AG14" s="1"/>
    </row>
    <row r="15" spans="1:33" ht="36.9" customHeight="1" thickBot="1" x14ac:dyDescent="0.35">
      <c r="A15" s="116"/>
      <c r="B15" s="188"/>
      <c r="C15" s="189"/>
      <c r="D15" s="190"/>
      <c r="E15" s="190"/>
      <c r="F15" s="190"/>
      <c r="G15" s="188"/>
      <c r="H15" s="188"/>
      <c r="I15" s="188"/>
      <c r="J15" s="188"/>
      <c r="K15" s="1"/>
      <c r="L15" s="116"/>
      <c r="M15" s="116"/>
      <c r="N15" s="97">
        <v>4</v>
      </c>
      <c r="O15" s="93" t="str">
        <f t="shared" ca="1" si="0"/>
        <v>0</v>
      </c>
      <c r="P15" s="93" t="str">
        <f t="shared" ca="1" si="1"/>
        <v>0</v>
      </c>
      <c r="Q15" s="93">
        <f t="shared" ca="1" si="2"/>
        <v>0</v>
      </c>
      <c r="R15" s="94">
        <f t="shared" ca="1" si="3"/>
        <v>4</v>
      </c>
      <c r="S15" s="226"/>
      <c r="T15" s="51"/>
      <c r="U15" s="64" t="s">
        <v>80</v>
      </c>
      <c r="V15" s="47"/>
      <c r="W15" s="47"/>
      <c r="X15" s="47"/>
      <c r="Y15" s="48"/>
      <c r="Z15" s="48"/>
      <c r="AA15" s="48"/>
      <c r="AB15" s="65" t="s">
        <v>81</v>
      </c>
      <c r="AD15" s="1"/>
      <c r="AE15" s="3"/>
      <c r="AF15" s="1"/>
      <c r="AG15" s="1"/>
    </row>
    <row r="16" spans="1:33" ht="36.9" customHeight="1" thickBot="1" x14ac:dyDescent="0.35">
      <c r="A16" s="226"/>
      <c r="B16" s="12" t="s">
        <v>87</v>
      </c>
      <c r="C16" s="150"/>
      <c r="D16" s="150"/>
      <c r="E16" s="151"/>
      <c r="F16" s="152"/>
      <c r="G16" s="153"/>
      <c r="H16" s="154"/>
      <c r="I16" s="152"/>
      <c r="J16" s="155"/>
      <c r="K16" s="148"/>
      <c r="L16" s="116"/>
      <c r="M16" s="116"/>
      <c r="N16" s="98">
        <v>5</v>
      </c>
      <c r="O16" s="93" t="str">
        <f t="shared" ca="1" si="0"/>
        <v>0</v>
      </c>
      <c r="P16" s="93" t="str">
        <f t="shared" ca="1" si="1"/>
        <v>0</v>
      </c>
      <c r="Q16" s="93">
        <f t="shared" ca="1" si="2"/>
        <v>0</v>
      </c>
      <c r="R16" s="94">
        <f t="shared" ca="1" si="3"/>
        <v>5</v>
      </c>
      <c r="S16" s="116"/>
      <c r="T16" s="116"/>
      <c r="U16" s="116"/>
      <c r="V16" s="116"/>
      <c r="W16" s="116"/>
      <c r="X16" s="116"/>
      <c r="Y16" s="116"/>
      <c r="AA16" s="116"/>
      <c r="AB16" s="116"/>
      <c r="AC16" s="116"/>
      <c r="AD16" s="1"/>
      <c r="AE16" s="3"/>
      <c r="AF16" s="1"/>
      <c r="AG16" s="1"/>
    </row>
    <row r="17" spans="1:33" ht="36.9" customHeight="1" thickBot="1" x14ac:dyDescent="0.4">
      <c r="A17" s="37">
        <v>1</v>
      </c>
      <c r="B17" s="160"/>
      <c r="C17" s="161"/>
      <c r="D17" s="162"/>
      <c r="E17" s="326"/>
      <c r="F17" s="164"/>
      <c r="G17" s="165"/>
      <c r="H17" s="160"/>
      <c r="I17" s="161"/>
      <c r="J17" s="162"/>
      <c r="K17" s="105">
        <f>SUM(B17:J17)</f>
        <v>0</v>
      </c>
      <c r="L17" s="106">
        <f>45-K17</f>
        <v>45</v>
      </c>
      <c r="M17" s="116"/>
      <c r="N17" s="99">
        <v>6</v>
      </c>
      <c r="O17" s="93" t="str">
        <f t="shared" ca="1" si="0"/>
        <v>0</v>
      </c>
      <c r="P17" s="93" t="str">
        <f t="shared" ca="1" si="1"/>
        <v>0</v>
      </c>
      <c r="Q17" s="93">
        <f t="shared" ca="1" si="2"/>
        <v>0</v>
      </c>
      <c r="R17" s="94">
        <f t="shared" ca="1" si="3"/>
        <v>6</v>
      </c>
      <c r="S17" s="226"/>
      <c r="T17" s="341" t="s">
        <v>225</v>
      </c>
      <c r="U17" s="342"/>
      <c r="V17" s="158"/>
      <c r="W17" s="148"/>
      <c r="X17" s="159"/>
      <c r="Y17" s="159"/>
      <c r="Z17" s="159"/>
      <c r="AA17" s="159"/>
      <c r="AB17" s="159"/>
      <c r="AC17" s="147" t="s">
        <v>82</v>
      </c>
      <c r="AD17" s="1"/>
    </row>
    <row r="18" spans="1:33" ht="31.65" customHeight="1" x14ac:dyDescent="0.35">
      <c r="A18" s="37">
        <v>2</v>
      </c>
      <c r="B18" s="166"/>
      <c r="C18" s="167"/>
      <c r="D18" s="168"/>
      <c r="E18" s="169"/>
      <c r="F18" s="170"/>
      <c r="G18" s="171"/>
      <c r="H18" s="166"/>
      <c r="I18" s="167"/>
      <c r="J18" s="168"/>
      <c r="K18" s="107">
        <f t="shared" ref="K18:K25" si="4">SUM(B18:J18)</f>
        <v>0</v>
      </c>
      <c r="L18" s="106">
        <f t="shared" ref="L18:L25" si="5">45-K18</f>
        <v>45</v>
      </c>
      <c r="M18" s="116"/>
      <c r="N18" s="100">
        <v>7</v>
      </c>
      <c r="O18" s="93" t="str">
        <f t="shared" ca="1" si="0"/>
        <v>0</v>
      </c>
      <c r="P18" s="93" t="str">
        <f t="shared" ca="1" si="1"/>
        <v>0</v>
      </c>
      <c r="Q18" s="93">
        <f t="shared" ca="1" si="2"/>
        <v>0</v>
      </c>
      <c r="R18" s="94">
        <f t="shared" ca="1" si="3"/>
        <v>7</v>
      </c>
      <c r="S18" s="37">
        <v>1</v>
      </c>
      <c r="T18" s="160"/>
      <c r="U18" s="161"/>
      <c r="V18" s="162"/>
      <c r="W18" s="163"/>
      <c r="X18" s="164"/>
      <c r="Y18" s="165"/>
      <c r="Z18" s="160"/>
      <c r="AA18" s="161"/>
      <c r="AB18" s="162"/>
      <c r="AC18" s="147" t="s">
        <v>83</v>
      </c>
      <c r="AD18" s="1"/>
    </row>
    <row r="19" spans="1:33" ht="36.9" customHeight="1" thickBot="1" x14ac:dyDescent="0.4">
      <c r="A19" s="37">
        <v>3</v>
      </c>
      <c r="B19" s="172"/>
      <c r="C19" s="173"/>
      <c r="D19" s="174"/>
      <c r="E19" s="175"/>
      <c r="F19" s="176"/>
      <c r="G19" s="177"/>
      <c r="H19" s="172"/>
      <c r="I19" s="173"/>
      <c r="J19" s="174"/>
      <c r="K19" s="108">
        <f t="shared" si="4"/>
        <v>0</v>
      </c>
      <c r="L19" s="106">
        <f t="shared" si="5"/>
        <v>45</v>
      </c>
      <c r="M19" s="116"/>
      <c r="N19" s="101">
        <v>8</v>
      </c>
      <c r="O19" s="93" t="str">
        <f t="shared" ca="1" si="0"/>
        <v>0</v>
      </c>
      <c r="P19" s="93" t="str">
        <f t="shared" ca="1" si="1"/>
        <v>0</v>
      </c>
      <c r="Q19" s="93">
        <f t="shared" ca="1" si="2"/>
        <v>0</v>
      </c>
      <c r="R19" s="94">
        <f t="shared" ca="1" si="3"/>
        <v>8</v>
      </c>
      <c r="S19" s="37">
        <v>2</v>
      </c>
      <c r="T19" s="166"/>
      <c r="U19" s="167"/>
      <c r="V19" s="168"/>
      <c r="W19" s="169"/>
      <c r="X19" s="170"/>
      <c r="Y19" s="171"/>
      <c r="Z19" s="166"/>
      <c r="AA19" s="167"/>
      <c r="AB19" s="168"/>
      <c r="AC19" s="149"/>
      <c r="AD19" s="1"/>
      <c r="AE19" s="3"/>
      <c r="AF19" s="1"/>
      <c r="AG19" s="1"/>
    </row>
    <row r="20" spans="1:33" ht="36.9" customHeight="1" thickBot="1" x14ac:dyDescent="0.4">
      <c r="A20" s="37">
        <v>4</v>
      </c>
      <c r="B20" s="163"/>
      <c r="C20" s="164"/>
      <c r="D20" s="165"/>
      <c r="E20" s="160"/>
      <c r="F20" s="161"/>
      <c r="G20" s="162"/>
      <c r="H20" s="163"/>
      <c r="I20" s="164"/>
      <c r="J20" s="165"/>
      <c r="K20" s="105">
        <f t="shared" si="4"/>
        <v>0</v>
      </c>
      <c r="L20" s="106">
        <f t="shared" si="5"/>
        <v>45</v>
      </c>
      <c r="M20" s="116"/>
      <c r="N20" s="102">
        <v>9</v>
      </c>
      <c r="O20" s="103" t="str">
        <f t="shared" ca="1" si="0"/>
        <v>0</v>
      </c>
      <c r="P20" s="103" t="str">
        <f t="shared" ca="1" si="1"/>
        <v>0</v>
      </c>
      <c r="Q20" s="103">
        <f t="shared" ca="1" si="2"/>
        <v>0</v>
      </c>
      <c r="R20" s="104">
        <f t="shared" ca="1" si="3"/>
        <v>9</v>
      </c>
      <c r="S20" s="37">
        <v>3</v>
      </c>
      <c r="T20" s="172"/>
      <c r="U20" s="173"/>
      <c r="V20" s="174"/>
      <c r="W20" s="175"/>
      <c r="X20" s="176"/>
      <c r="Y20" s="177"/>
      <c r="Z20" s="172"/>
      <c r="AA20" s="173"/>
      <c r="AB20" s="174"/>
      <c r="AC20" s="149"/>
      <c r="AD20" s="1"/>
    </row>
    <row r="21" spans="1:33" ht="36.9" customHeight="1" thickBot="1" x14ac:dyDescent="0.4">
      <c r="A21" s="37">
        <v>5</v>
      </c>
      <c r="B21" s="169"/>
      <c r="C21" s="170"/>
      <c r="D21" s="171"/>
      <c r="E21" s="166"/>
      <c r="F21" s="167"/>
      <c r="G21" s="168"/>
      <c r="H21" s="169"/>
      <c r="I21" s="170"/>
      <c r="J21" s="171"/>
      <c r="K21" s="107">
        <f t="shared" si="4"/>
        <v>0</v>
      </c>
      <c r="L21" s="106">
        <f t="shared" si="5"/>
        <v>45</v>
      </c>
      <c r="M21" s="116"/>
      <c r="N21" s="116"/>
      <c r="O21" s="116"/>
      <c r="P21" s="116"/>
      <c r="Q21" s="116"/>
      <c r="R21" s="116"/>
      <c r="S21" s="37">
        <v>4</v>
      </c>
      <c r="T21" s="163"/>
      <c r="U21" s="164"/>
      <c r="V21" s="165"/>
      <c r="W21" s="160"/>
      <c r="X21" s="161"/>
      <c r="Y21" s="162"/>
      <c r="Z21" s="163"/>
      <c r="AA21" s="164"/>
      <c r="AB21" s="165"/>
      <c r="AC21" s="149"/>
      <c r="AD21" s="1"/>
      <c r="AG21" s="1"/>
    </row>
    <row r="22" spans="1:33" ht="36.9" customHeight="1" thickBot="1" x14ac:dyDescent="0.4">
      <c r="A22" s="37">
        <v>6</v>
      </c>
      <c r="B22" s="175"/>
      <c r="C22" s="176"/>
      <c r="D22" s="177"/>
      <c r="E22" s="172"/>
      <c r="F22" s="173"/>
      <c r="G22" s="174"/>
      <c r="H22" s="175"/>
      <c r="I22" s="176"/>
      <c r="J22" s="177"/>
      <c r="K22" s="108">
        <f t="shared" si="4"/>
        <v>0</v>
      </c>
      <c r="L22" s="106">
        <f t="shared" si="5"/>
        <v>45</v>
      </c>
      <c r="M22" s="116"/>
      <c r="N22" s="343" t="s">
        <v>232</v>
      </c>
      <c r="O22" s="344"/>
      <c r="P22" s="344"/>
      <c r="Q22" s="344"/>
      <c r="R22" s="345"/>
      <c r="S22" s="37">
        <v>5</v>
      </c>
      <c r="T22" s="169"/>
      <c r="U22" s="170"/>
      <c r="V22" s="171"/>
      <c r="W22" s="166"/>
      <c r="X22" s="167"/>
      <c r="Y22" s="168"/>
      <c r="Z22" s="169"/>
      <c r="AA22" s="170"/>
      <c r="AB22" s="171"/>
      <c r="AC22" s="149"/>
      <c r="AD22" s="1"/>
      <c r="AG22" s="1"/>
    </row>
    <row r="23" spans="1:33" ht="36.9" customHeight="1" thickBot="1" x14ac:dyDescent="0.4">
      <c r="A23" s="37">
        <v>7</v>
      </c>
      <c r="B23" s="160"/>
      <c r="C23" s="161"/>
      <c r="D23" s="162"/>
      <c r="E23" s="163"/>
      <c r="F23" s="164"/>
      <c r="G23" s="165"/>
      <c r="H23" s="160"/>
      <c r="I23" s="161"/>
      <c r="J23" s="162"/>
      <c r="K23" s="105">
        <f t="shared" si="4"/>
        <v>0</v>
      </c>
      <c r="L23" s="106">
        <f t="shared" si="5"/>
        <v>45</v>
      </c>
      <c r="M23" s="116"/>
      <c r="N23" s="346"/>
      <c r="O23" s="347"/>
      <c r="P23" s="347"/>
      <c r="Q23" s="347"/>
      <c r="R23" s="348"/>
      <c r="S23" s="37">
        <v>6</v>
      </c>
      <c r="T23" s="175"/>
      <c r="U23" s="176"/>
      <c r="V23" s="177"/>
      <c r="W23" s="172"/>
      <c r="X23" s="173"/>
      <c r="Y23" s="174"/>
      <c r="Z23" s="175"/>
      <c r="AA23" s="176"/>
      <c r="AB23" s="177"/>
      <c r="AC23" s="149"/>
      <c r="AD23" s="1"/>
      <c r="AG23" s="1"/>
    </row>
    <row r="24" spans="1:33" ht="36.9" customHeight="1" x14ac:dyDescent="0.35">
      <c r="A24" s="37">
        <v>8</v>
      </c>
      <c r="B24" s="166"/>
      <c r="C24" s="167"/>
      <c r="D24" s="168"/>
      <c r="E24" s="169"/>
      <c r="F24" s="170"/>
      <c r="G24" s="171"/>
      <c r="H24" s="166"/>
      <c r="I24" s="167"/>
      <c r="J24" s="168"/>
      <c r="K24" s="107">
        <f t="shared" si="4"/>
        <v>0</v>
      </c>
      <c r="L24" s="106">
        <f t="shared" si="5"/>
        <v>45</v>
      </c>
      <c r="M24" s="116"/>
      <c r="N24" s="116"/>
      <c r="O24" s="116"/>
      <c r="P24" s="116"/>
      <c r="Q24" s="116"/>
      <c r="R24" s="116"/>
      <c r="S24" s="37">
        <v>7</v>
      </c>
      <c r="T24" s="160"/>
      <c r="U24" s="161"/>
      <c r="V24" s="162"/>
      <c r="W24" s="163"/>
      <c r="X24" s="164"/>
      <c r="Y24" s="165"/>
      <c r="Z24" s="160"/>
      <c r="AA24" s="161"/>
      <c r="AB24" s="162"/>
      <c r="AC24" s="149"/>
      <c r="AD24" s="1"/>
      <c r="AG24" s="1"/>
    </row>
    <row r="25" spans="1:33" ht="37.200000000000003" thickBot="1" x14ac:dyDescent="0.4">
      <c r="A25" s="38">
        <v>9</v>
      </c>
      <c r="B25" s="172"/>
      <c r="C25" s="173"/>
      <c r="D25" s="174"/>
      <c r="E25" s="175"/>
      <c r="F25" s="176"/>
      <c r="G25" s="177"/>
      <c r="H25" s="172"/>
      <c r="I25" s="173"/>
      <c r="J25" s="174"/>
      <c r="K25" s="108">
        <f t="shared" si="4"/>
        <v>0</v>
      </c>
      <c r="L25" s="109">
        <f t="shared" si="5"/>
        <v>45</v>
      </c>
      <c r="M25" s="1"/>
      <c r="N25" s="349" t="str">
        <f>IF(K26 = 810,"You Won!","Enjoy!")</f>
        <v>Enjoy!</v>
      </c>
      <c r="O25" s="350"/>
      <c r="P25" s="350"/>
      <c r="Q25" s="350"/>
      <c r="R25" s="351"/>
      <c r="S25" s="37">
        <v>8</v>
      </c>
      <c r="T25" s="166"/>
      <c r="U25" s="167"/>
      <c r="V25" s="168"/>
      <c r="W25" s="169"/>
      <c r="X25" s="170"/>
      <c r="Y25" s="171"/>
      <c r="Z25" s="166"/>
      <c r="AA25" s="167"/>
      <c r="AB25" s="168"/>
      <c r="AC25" s="149"/>
      <c r="AD25" s="1"/>
      <c r="AG25" s="1"/>
    </row>
    <row r="26" spans="1:33" ht="39" customHeight="1" thickBot="1" x14ac:dyDescent="0.4">
      <c r="A26" s="226"/>
      <c r="B26" s="110">
        <f>SUM(B17:B25)</f>
        <v>0</v>
      </c>
      <c r="C26" s="110">
        <f t="shared" ref="C26:J26" si="6">SUM(C17:C25)</f>
        <v>0</v>
      </c>
      <c r="D26" s="110">
        <f t="shared" si="6"/>
        <v>0</v>
      </c>
      <c r="E26" s="110">
        <f t="shared" si="6"/>
        <v>0</v>
      </c>
      <c r="F26" s="110">
        <f t="shared" si="6"/>
        <v>0</v>
      </c>
      <c r="G26" s="110">
        <f t="shared" si="6"/>
        <v>0</v>
      </c>
      <c r="H26" s="110">
        <f t="shared" si="6"/>
        <v>0</v>
      </c>
      <c r="I26" s="110">
        <f t="shared" si="6"/>
        <v>0</v>
      </c>
      <c r="J26" s="111">
        <f t="shared" si="6"/>
        <v>0</v>
      </c>
      <c r="K26" s="112">
        <f>L26+K27</f>
        <v>0</v>
      </c>
      <c r="L26" s="113">
        <f>SUM(K17:K25)</f>
        <v>0</v>
      </c>
      <c r="M26" s="116"/>
      <c r="N26" s="352"/>
      <c r="O26" s="353"/>
      <c r="P26" s="353"/>
      <c r="Q26" s="353"/>
      <c r="R26" s="354"/>
      <c r="S26" s="38">
        <v>9</v>
      </c>
      <c r="T26" s="172"/>
      <c r="U26" s="173"/>
      <c r="V26" s="174"/>
      <c r="W26" s="175"/>
      <c r="X26" s="176"/>
      <c r="Y26" s="177"/>
      <c r="Z26" s="172"/>
      <c r="AA26" s="173"/>
      <c r="AB26" s="174"/>
      <c r="AC26" s="116"/>
      <c r="AD26" s="1"/>
      <c r="AG26" s="1"/>
    </row>
    <row r="27" spans="1:33" ht="40.65" customHeight="1" thickBot="1" x14ac:dyDescent="0.4">
      <c r="A27" s="226"/>
      <c r="B27" s="114">
        <f>45-B26</f>
        <v>45</v>
      </c>
      <c r="C27" s="114">
        <f t="shared" ref="C27:J27" si="7">45-C26</f>
        <v>45</v>
      </c>
      <c r="D27" s="114">
        <f t="shared" si="7"/>
        <v>45</v>
      </c>
      <c r="E27" s="114">
        <f t="shared" si="7"/>
        <v>45</v>
      </c>
      <c r="F27" s="114">
        <f t="shared" si="7"/>
        <v>45</v>
      </c>
      <c r="G27" s="114">
        <f t="shared" si="7"/>
        <v>45</v>
      </c>
      <c r="H27" s="114">
        <f t="shared" si="7"/>
        <v>45</v>
      </c>
      <c r="I27" s="114">
        <f t="shared" si="7"/>
        <v>45</v>
      </c>
      <c r="J27" s="115">
        <f t="shared" si="7"/>
        <v>45</v>
      </c>
      <c r="K27" s="113">
        <f>SUM(B26:J26)</f>
        <v>0</v>
      </c>
      <c r="L27" s="226"/>
      <c r="M27" s="116"/>
      <c r="N27" s="116"/>
      <c r="O27" s="116"/>
      <c r="P27" s="116"/>
      <c r="Q27" s="116"/>
      <c r="R27" s="116"/>
      <c r="S27" s="116"/>
      <c r="T27" s="116"/>
      <c r="U27" s="116"/>
      <c r="AD27" s="1"/>
      <c r="AG27" s="1"/>
    </row>
    <row r="28" spans="1:33" ht="48" customHeight="1" thickBot="1" x14ac:dyDescent="0.35">
      <c r="A28" s="116"/>
      <c r="B28" s="116"/>
      <c r="C28" s="116"/>
      <c r="D28" s="116"/>
      <c r="E28" s="116"/>
      <c r="F28" s="116"/>
      <c r="G28" s="116"/>
      <c r="H28" s="116"/>
      <c r="I28" s="127"/>
      <c r="J28" s="127"/>
      <c r="K28" s="116"/>
      <c r="L28" s="116"/>
      <c r="M28" s="46" t="s">
        <v>138</v>
      </c>
      <c r="N28" s="9"/>
      <c r="O28" s="10"/>
      <c r="P28" s="4"/>
      <c r="Q28" s="4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</row>
    <row r="29" spans="1:33" ht="45.9" customHeight="1" thickBot="1" x14ac:dyDescent="0.55000000000000004">
      <c r="A29" s="116"/>
      <c r="B29" s="116" t="s">
        <v>33</v>
      </c>
      <c r="C29" s="127"/>
      <c r="D29" s="127"/>
      <c r="E29" s="127"/>
      <c r="F29" s="116" t="s">
        <v>34</v>
      </c>
      <c r="G29" s="128"/>
      <c r="H29" s="128"/>
      <c r="I29" s="127"/>
      <c r="J29" s="116"/>
      <c r="K29" s="116"/>
      <c r="L29" s="116"/>
      <c r="M29" s="359"/>
      <c r="N29" s="360"/>
      <c r="O29" s="361"/>
      <c r="P29" s="362"/>
      <c r="Q29" s="363"/>
      <c r="R29" s="364"/>
      <c r="S29" s="359"/>
      <c r="T29" s="360"/>
      <c r="U29" s="361"/>
      <c r="V29" s="116"/>
      <c r="W29" s="116"/>
      <c r="X29" s="116"/>
      <c r="Y29" s="116"/>
      <c r="Z29" s="116"/>
      <c r="AA29" s="116"/>
      <c r="AB29" s="116"/>
    </row>
    <row r="30" spans="1:33" ht="45.9" customHeight="1" thickBot="1" x14ac:dyDescent="0.4">
      <c r="A30" s="116"/>
      <c r="B30" s="129">
        <f>SUM(B17:D19)</f>
        <v>0</v>
      </c>
      <c r="C30" s="130">
        <f>SUM(E17:G19)</f>
        <v>0</v>
      </c>
      <c r="D30" s="129">
        <f>SUM(H17:J19)</f>
        <v>0</v>
      </c>
      <c r="E30" s="131">
        <v>405</v>
      </c>
      <c r="F30" s="132">
        <f t="shared" ref="F30:H32" si="8">45-B30</f>
        <v>45</v>
      </c>
      <c r="G30" s="133">
        <f t="shared" si="8"/>
        <v>45</v>
      </c>
      <c r="H30" s="134">
        <f t="shared" si="8"/>
        <v>45</v>
      </c>
      <c r="I30" s="116"/>
      <c r="J30" s="116"/>
      <c r="K30" s="116"/>
      <c r="L30" s="116"/>
      <c r="M30" s="365"/>
      <c r="N30" s="366"/>
      <c r="O30" s="367"/>
      <c r="P30" s="368"/>
      <c r="Q30" s="369"/>
      <c r="R30" s="370"/>
      <c r="S30" s="365"/>
      <c r="T30" s="366"/>
      <c r="U30" s="367"/>
      <c r="V30" s="116"/>
      <c r="W30" s="116"/>
      <c r="X30" s="116"/>
      <c r="Y30" s="116"/>
      <c r="Z30" s="116"/>
      <c r="AA30" s="116"/>
      <c r="AB30" s="116"/>
    </row>
    <row r="31" spans="1:33" ht="45.9" customHeight="1" thickBot="1" x14ac:dyDescent="0.4">
      <c r="A31" s="116"/>
      <c r="B31" s="135">
        <f>SUM(B20:D22)</f>
        <v>0</v>
      </c>
      <c r="C31" s="136">
        <f>SUM(E20:G22)</f>
        <v>0</v>
      </c>
      <c r="D31" s="137">
        <f>SUM(H20:J22)</f>
        <v>0</v>
      </c>
      <c r="E31" s="116"/>
      <c r="F31" s="138">
        <f t="shared" si="8"/>
        <v>45</v>
      </c>
      <c r="G31" s="139">
        <f t="shared" si="8"/>
        <v>45</v>
      </c>
      <c r="H31" s="140">
        <f t="shared" si="8"/>
        <v>45</v>
      </c>
      <c r="I31" s="116"/>
      <c r="J31" s="116"/>
      <c r="K31" s="116"/>
      <c r="L31" s="116"/>
      <c r="M31" s="371"/>
      <c r="N31" s="372"/>
      <c r="O31" s="373"/>
      <c r="P31" s="374"/>
      <c r="Q31" s="375"/>
      <c r="R31" s="376"/>
      <c r="S31" s="371"/>
      <c r="T31" s="372"/>
      <c r="U31" s="373"/>
      <c r="V31" s="116"/>
      <c r="W31" s="116"/>
      <c r="X31" s="116"/>
      <c r="Y31" s="116"/>
      <c r="Z31" s="116"/>
      <c r="AA31" s="116"/>
      <c r="AB31" s="116"/>
    </row>
    <row r="32" spans="1:33" ht="45.9" customHeight="1" thickBot="1" x14ac:dyDescent="0.4">
      <c r="A32" s="116"/>
      <c r="B32" s="141">
        <f>SUM(B23:D25)</f>
        <v>0</v>
      </c>
      <c r="C32" s="142">
        <f>SUM(E23:G25)</f>
        <v>0</v>
      </c>
      <c r="D32" s="143">
        <f>SUM(H23:J25)</f>
        <v>0</v>
      </c>
      <c r="E32" s="116"/>
      <c r="F32" s="144">
        <f t="shared" si="8"/>
        <v>45</v>
      </c>
      <c r="G32" s="145">
        <f t="shared" si="8"/>
        <v>45</v>
      </c>
      <c r="H32" s="146">
        <f t="shared" si="8"/>
        <v>45</v>
      </c>
      <c r="I32" s="116"/>
      <c r="J32" s="116"/>
      <c r="K32" s="116"/>
      <c r="L32" s="116"/>
      <c r="M32" s="362"/>
      <c r="N32" s="363"/>
      <c r="O32" s="364"/>
      <c r="P32" s="359"/>
      <c r="Q32" s="360"/>
      <c r="R32" s="361"/>
      <c r="S32" s="362"/>
      <c r="T32" s="363"/>
      <c r="U32" s="364"/>
      <c r="V32" s="116"/>
      <c r="W32" s="116"/>
      <c r="X32" s="116"/>
      <c r="Y32" s="116"/>
      <c r="Z32" s="116"/>
      <c r="AA32" s="116"/>
      <c r="AB32" s="116"/>
    </row>
    <row r="33" spans="1:40" ht="45.9" customHeight="1" x14ac:dyDescent="0.3">
      <c r="A33" s="116"/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368"/>
      <c r="N33" s="369"/>
      <c r="O33" s="370"/>
      <c r="P33" s="365"/>
      <c r="Q33" s="366"/>
      <c r="R33" s="367"/>
      <c r="S33" s="368"/>
      <c r="T33" s="369"/>
      <c r="U33" s="370"/>
      <c r="V33" s="116"/>
      <c r="W33" s="116"/>
      <c r="X33" s="116"/>
      <c r="Y33" s="116"/>
      <c r="Z33" s="116"/>
      <c r="AA33" s="116"/>
      <c r="AB33" s="116"/>
    </row>
    <row r="34" spans="1:40" ht="45.9" customHeight="1" thickBot="1" x14ac:dyDescent="0.35">
      <c r="A34" s="116"/>
      <c r="B34" s="116"/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374"/>
      <c r="N34" s="375"/>
      <c r="O34" s="376"/>
      <c r="P34" s="371"/>
      <c r="Q34" s="372"/>
      <c r="R34" s="373"/>
      <c r="S34" s="374"/>
      <c r="T34" s="375"/>
      <c r="U34" s="376"/>
      <c r="V34" s="116"/>
      <c r="W34" s="116"/>
      <c r="X34" s="116"/>
      <c r="Y34" s="116"/>
      <c r="Z34" s="116"/>
      <c r="AA34" s="116"/>
      <c r="AB34" s="116"/>
    </row>
    <row r="35" spans="1:40" ht="45.9" customHeight="1" x14ac:dyDescent="0.3">
      <c r="A35" s="116"/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359"/>
      <c r="N35" s="360"/>
      <c r="O35" s="361"/>
      <c r="P35" s="362"/>
      <c r="Q35" s="363"/>
      <c r="R35" s="364"/>
      <c r="S35" s="359"/>
      <c r="T35" s="360"/>
      <c r="U35" s="361"/>
      <c r="V35" s="116"/>
      <c r="W35" s="116"/>
      <c r="X35" s="116"/>
      <c r="Y35" s="116"/>
      <c r="Z35" s="116"/>
      <c r="AA35" s="116"/>
      <c r="AB35" s="116"/>
      <c r="AN35" t="str">
        <f>D43</f>
        <v>B</v>
      </c>
    </row>
    <row r="36" spans="1:40" ht="45.9" customHeight="1" x14ac:dyDescent="0.3">
      <c r="A36" s="116"/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365"/>
      <c r="N36" s="366"/>
      <c r="O36" s="367"/>
      <c r="P36" s="368"/>
      <c r="Q36" s="369"/>
      <c r="R36" s="370"/>
      <c r="S36" s="365"/>
      <c r="T36" s="366"/>
      <c r="U36" s="367"/>
      <c r="V36" s="116"/>
      <c r="W36" s="116"/>
      <c r="X36" s="116"/>
      <c r="Y36" s="116"/>
      <c r="Z36" s="116"/>
      <c r="AA36" s="116"/>
      <c r="AB36" s="116"/>
    </row>
    <row r="37" spans="1:40" ht="45.9" customHeight="1" thickBot="1" x14ac:dyDescent="0.35">
      <c r="A37" s="116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371"/>
      <c r="N37" s="372"/>
      <c r="O37" s="373"/>
      <c r="P37" s="374"/>
      <c r="Q37" s="375"/>
      <c r="R37" s="376"/>
      <c r="S37" s="371"/>
      <c r="T37" s="372"/>
      <c r="U37" s="373"/>
      <c r="V37" s="116"/>
      <c r="W37" s="116"/>
      <c r="X37" s="116"/>
      <c r="Y37" s="116"/>
      <c r="Z37" s="116"/>
      <c r="AA37" s="116"/>
      <c r="AB37" s="116"/>
    </row>
    <row r="39" spans="1:40" x14ac:dyDescent="0.3">
      <c r="Q39" s="1"/>
    </row>
    <row r="40" spans="1:40" ht="22.65" customHeight="1" x14ac:dyDescent="0.45">
      <c r="A40" s="17" t="s">
        <v>21</v>
      </c>
      <c r="Q40" s="1"/>
    </row>
    <row r="41" spans="1:40" x14ac:dyDescent="0.3">
      <c r="Q41" s="1"/>
    </row>
    <row r="42" spans="1:40" x14ac:dyDescent="0.3">
      <c r="C42" t="s">
        <v>36</v>
      </c>
      <c r="H42" t="s">
        <v>170</v>
      </c>
      <c r="Q42" s="1"/>
      <c r="R42" s="1"/>
      <c r="S42" s="1"/>
      <c r="T42" s="1"/>
    </row>
    <row r="43" spans="1:40" ht="25.5" customHeight="1" x14ac:dyDescent="0.3">
      <c r="A43" s="329" t="s">
        <v>37</v>
      </c>
      <c r="B43" s="330"/>
      <c r="C43" s="22" t="str">
        <f>VisualColNum&amp;VisualRowNum</f>
        <v>A1</v>
      </c>
      <c r="D43" s="18" t="str">
        <f>CHAR(CODE(VisualColNum )+1)</f>
        <v>B</v>
      </c>
      <c r="E43" s="18">
        <f>VisualRowNum+3</f>
        <v>4</v>
      </c>
      <c r="H43" t="s">
        <v>172</v>
      </c>
      <c r="I43" t="s">
        <v>171</v>
      </c>
      <c r="J43" t="s">
        <v>172</v>
      </c>
      <c r="K43" t="s">
        <v>171</v>
      </c>
      <c r="L43" t="s">
        <v>172</v>
      </c>
      <c r="M43" t="s">
        <v>171</v>
      </c>
      <c r="Q43" s="1"/>
      <c r="S43" s="1"/>
      <c r="T43" s="1"/>
    </row>
    <row r="44" spans="1:40" ht="26.25" customHeight="1" x14ac:dyDescent="0.3">
      <c r="C44" s="21" t="s">
        <v>32</v>
      </c>
      <c r="D44" s="20" t="s">
        <v>5</v>
      </c>
      <c r="E44" s="20" t="s">
        <v>6</v>
      </c>
      <c r="H44">
        <f>COUNTIF(B26:J26,45)</f>
        <v>0</v>
      </c>
      <c r="I44">
        <f>COUNTIF(K17:K25,45)</f>
        <v>0</v>
      </c>
      <c r="J44">
        <f>COUNTIF(K17:K25,"&gt;45")</f>
        <v>0</v>
      </c>
      <c r="K44">
        <f>COUNTIF(B26:J26,".45")</f>
        <v>0</v>
      </c>
      <c r="Q44" s="1"/>
      <c r="S44" s="1"/>
      <c r="T44" s="1"/>
    </row>
    <row r="45" spans="1:40" ht="26.25" customHeight="1" x14ac:dyDescent="0.3">
      <c r="C45" s="19" t="str">
        <f>D43&amp;E43</f>
        <v>B4</v>
      </c>
      <c r="D45" s="19">
        <f ca="1">COLUMN(INDIRECT(C45))</f>
        <v>2</v>
      </c>
      <c r="E45" s="19">
        <f ca="1">ROW(INDIRECT(C45))</f>
        <v>4</v>
      </c>
      <c r="I45">
        <f>H44+I44</f>
        <v>0</v>
      </c>
      <c r="Q45" s="1"/>
      <c r="R45" s="5" t="str">
        <f ca="1">IF(M7="","Terminal Play - Game Over","")</f>
        <v/>
      </c>
      <c r="S45" s="1"/>
      <c r="T45" s="1"/>
    </row>
    <row r="46" spans="1:40" ht="26.25" customHeight="1" thickBot="1" x14ac:dyDescent="0.35">
      <c r="A46" s="116">
        <v>0</v>
      </c>
      <c r="B46" t="s">
        <v>174</v>
      </c>
      <c r="Q46" s="1"/>
      <c r="R46" s="5"/>
      <c r="S46" s="1"/>
      <c r="T46" s="1"/>
    </row>
    <row r="47" spans="1:40" ht="26.25" customHeight="1" x14ac:dyDescent="0.3">
      <c r="C47" s="13" t="s">
        <v>8</v>
      </c>
      <c r="D47" s="14">
        <f ca="1">ROUNDUP((D45-1)/3,0)</f>
        <v>1</v>
      </c>
      <c r="E47" s="16" t="s">
        <v>9</v>
      </c>
      <c r="F47" s="27">
        <f ca="1">(3*D47)-2</f>
        <v>1</v>
      </c>
      <c r="G47" s="29" t="s">
        <v>40</v>
      </c>
      <c r="H47" s="30"/>
      <c r="I47" s="31">
        <f ca="1">F47+1</f>
        <v>2</v>
      </c>
      <c r="Q47" s="1"/>
      <c r="R47" s="5"/>
      <c r="S47" s="1"/>
      <c r="T47" s="1"/>
    </row>
    <row r="48" spans="1:40" ht="26.25" customHeight="1" x14ac:dyDescent="0.3">
      <c r="C48" s="13" t="s">
        <v>10</v>
      </c>
      <c r="D48" s="14">
        <f ca="1">ROUNDUP((E45 -3)/3,0)</f>
        <v>1</v>
      </c>
      <c r="E48" s="16" t="s">
        <v>11</v>
      </c>
      <c r="F48" s="27">
        <f ca="1">(3*D48)-2</f>
        <v>1</v>
      </c>
      <c r="G48" s="32" t="s">
        <v>41</v>
      </c>
      <c r="H48" s="26"/>
      <c r="I48" s="33">
        <f ca="1">F48+3</f>
        <v>4</v>
      </c>
      <c r="Q48" s="1"/>
      <c r="R48" s="5"/>
      <c r="S48" s="1"/>
      <c r="T48" s="1"/>
    </row>
    <row r="49" spans="3:20" ht="26.25" customHeight="1" x14ac:dyDescent="0.3">
      <c r="C49" s="13" t="s">
        <v>12</v>
      </c>
      <c r="D49" s="13"/>
      <c r="E49" s="13" t="str">
        <f ca="1">ADDRESS(F48,F47)</f>
        <v>$A$1</v>
      </c>
      <c r="F49" s="28"/>
      <c r="G49" s="32" t="s">
        <v>42</v>
      </c>
      <c r="H49" s="26"/>
      <c r="I49" s="33" t="str">
        <f ca="1">ADDRESS(I48,I47)</f>
        <v>$B$4</v>
      </c>
      <c r="L49" s="1"/>
      <c r="N49" s="1" t="s">
        <v>175</v>
      </c>
      <c r="O49" s="1"/>
      <c r="P49" s="1"/>
      <c r="Q49" s="1"/>
      <c r="R49" s="1"/>
      <c r="S49" s="1"/>
      <c r="T49" s="1"/>
    </row>
    <row r="50" spans="3:20" ht="26.25" customHeight="1" x14ac:dyDescent="0.3">
      <c r="C50" s="13" t="s">
        <v>44</v>
      </c>
      <c r="D50" s="13"/>
      <c r="E50" s="13" t="str">
        <f ca="1">ADDRESS(F48+2,F47+2)</f>
        <v>$C$3</v>
      </c>
      <c r="F50" s="28"/>
      <c r="G50" s="32" t="s">
        <v>43</v>
      </c>
      <c r="H50" s="26"/>
      <c r="I50" s="53" t="str">
        <f ca="1">ADDRESS(I48+2,I47+2)</f>
        <v>$D$6</v>
      </c>
      <c r="L50" s="1"/>
      <c r="P50" s="1"/>
      <c r="Q50" s="1"/>
      <c r="R50" s="1">
        <f>ROW(M29)</f>
        <v>29</v>
      </c>
      <c r="S50" s="1"/>
      <c r="T50" s="1"/>
    </row>
    <row r="51" spans="3:20" ht="26.25" customHeight="1" thickBot="1" x14ac:dyDescent="0.35">
      <c r="C51" s="13" t="s">
        <v>45</v>
      </c>
      <c r="D51" s="13"/>
      <c r="E51" s="36" t="str">
        <f ca="1">E49&amp;":"&amp;E50</f>
        <v>$A$1:$C$3</v>
      </c>
      <c r="F51" s="28"/>
      <c r="G51" s="34" t="s">
        <v>46</v>
      </c>
      <c r="H51" s="35"/>
      <c r="I51" s="327" t="str">
        <f ca="1">I49&amp;":"&amp;I50</f>
        <v>$B$4:$D$6</v>
      </c>
      <c r="J51" s="328"/>
      <c r="L51" s="2"/>
      <c r="P51" s="2"/>
      <c r="Q51" s="2"/>
      <c r="R51" s="1">
        <f>COLUMN(M29)</f>
        <v>13</v>
      </c>
      <c r="S51" s="1"/>
      <c r="T51" s="1"/>
    </row>
    <row r="52" spans="3:20" ht="26.25" customHeight="1" x14ac:dyDescent="0.3">
      <c r="L52" s="2"/>
      <c r="P52" s="2"/>
      <c r="Q52" s="2" t="s">
        <v>17</v>
      </c>
      <c r="R52" s="2" t="s">
        <v>6</v>
      </c>
      <c r="S52" s="2" t="s">
        <v>18</v>
      </c>
      <c r="T52" s="1"/>
    </row>
    <row r="53" spans="3:20" ht="26.25" customHeight="1" x14ac:dyDescent="0.3">
      <c r="L53" s="1"/>
      <c r="P53" s="1"/>
      <c r="Q53" s="2">
        <v>1</v>
      </c>
      <c r="R53" s="2">
        <v>6</v>
      </c>
      <c r="S53" s="2">
        <v>21</v>
      </c>
      <c r="T53" s="1"/>
    </row>
    <row r="54" spans="3:20" ht="26.25" customHeight="1" x14ac:dyDescent="0.3">
      <c r="L54" s="1"/>
      <c r="P54" s="1"/>
      <c r="Q54" s="2">
        <v>2</v>
      </c>
      <c r="R54" s="2">
        <v>6</v>
      </c>
      <c r="S54" s="2">
        <v>24</v>
      </c>
      <c r="T54" s="1"/>
    </row>
    <row r="55" spans="3:20" ht="26.25" customHeight="1" x14ac:dyDescent="0.3">
      <c r="L55" s="1"/>
      <c r="P55" s="1"/>
      <c r="Q55" s="2">
        <v>3</v>
      </c>
      <c r="R55" s="2">
        <v>6</v>
      </c>
      <c r="S55" s="2">
        <v>27</v>
      </c>
      <c r="T55" s="1"/>
    </row>
    <row r="56" spans="3:20" ht="26.25" customHeight="1" x14ac:dyDescent="0.3">
      <c r="L56" s="1"/>
      <c r="P56" s="1"/>
      <c r="Q56" s="2">
        <v>4</v>
      </c>
      <c r="R56" s="2">
        <v>9</v>
      </c>
      <c r="S56" s="2">
        <v>21</v>
      </c>
      <c r="T56" s="1"/>
    </row>
    <row r="57" spans="3:20" ht="26.25" customHeight="1" x14ac:dyDescent="0.3">
      <c r="L57" s="1"/>
      <c r="M57" s="1"/>
      <c r="N57" s="1"/>
      <c r="O57" s="1"/>
      <c r="P57" s="1"/>
      <c r="Q57" s="2">
        <v>5</v>
      </c>
      <c r="R57" s="2">
        <v>9</v>
      </c>
      <c r="S57" s="2">
        <v>24</v>
      </c>
      <c r="T57" s="1"/>
    </row>
    <row r="58" spans="3:20" ht="26.25" customHeight="1" x14ac:dyDescent="0.3">
      <c r="L58" s="1"/>
      <c r="M58" s="1"/>
      <c r="N58" s="1"/>
      <c r="O58" s="1"/>
      <c r="P58" s="1"/>
      <c r="Q58" s="2">
        <v>6</v>
      </c>
      <c r="R58" s="2">
        <v>9</v>
      </c>
      <c r="S58" s="2">
        <v>27</v>
      </c>
      <c r="T58" s="1"/>
    </row>
    <row r="59" spans="3:20" ht="26.25" customHeight="1" x14ac:dyDescent="0.3">
      <c r="Q59" s="2">
        <v>7</v>
      </c>
      <c r="R59" s="2">
        <v>12</v>
      </c>
      <c r="S59" s="2">
        <v>22</v>
      </c>
    </row>
    <row r="60" spans="3:20" ht="26.25" customHeight="1" x14ac:dyDescent="0.3">
      <c r="Q60" s="2">
        <v>8</v>
      </c>
      <c r="R60" s="2">
        <v>12</v>
      </c>
      <c r="S60" s="2">
        <v>24</v>
      </c>
    </row>
    <row r="61" spans="3:20" ht="26.25" customHeight="1" x14ac:dyDescent="0.3">
      <c r="Q61" s="2">
        <v>9</v>
      </c>
      <c r="R61" s="2">
        <v>12</v>
      </c>
      <c r="S61" s="2">
        <v>27</v>
      </c>
    </row>
  </sheetData>
  <sheetProtection algorithmName="SHA-512" hashValue="sVuRBMe4qBb68X40MErLwG7JhSayZB8jxpD18+ydFzBzfPS8rTfJ0if/MD95rOKC9Y+UtYNvhCTa1z+L3Vk5ug==" saltValue="94kAkgkiHyfKxr1dODS/PQ==" spinCount="100000" sheet="1" objects="1" scenarios="1" selectLockedCells="1"/>
  <mergeCells count="10">
    <mergeCell ref="I51:J51"/>
    <mergeCell ref="A43:B43"/>
    <mergeCell ref="M7:O7"/>
    <mergeCell ref="Z1:AB1"/>
    <mergeCell ref="A1:Y1"/>
    <mergeCell ref="B2:J2"/>
    <mergeCell ref="T17:U17"/>
    <mergeCell ref="N22:R23"/>
    <mergeCell ref="N25:R26"/>
    <mergeCell ref="Z2:AA2"/>
  </mergeCells>
  <conditionalFormatting sqref="Q12:Q20">
    <cfRule type="cellIs" dxfId="0" priority="9" operator="greaterThan">
      <formula>0</formula>
    </cfRule>
  </conditionalFormatting>
  <conditionalFormatting sqref="P12:P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2:O20">
    <cfRule type="colorScale" priority="4">
      <colorScale>
        <cfvo type="min"/>
        <cfvo type="percentile" val="50"/>
        <cfvo type="max"/>
        <color theme="6" tint="-0.249977111117893"/>
        <color rgb="FFFFEB84"/>
        <color theme="3" tint="-0.249977111117893"/>
      </colorScale>
    </cfRule>
  </conditionalFormatting>
  <conditionalFormatting sqref="R12:R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ncRow">
                <anchor moveWithCells="1" sizeWithCells="1">
                  <from>
                    <xdr:col>15</xdr:col>
                    <xdr:colOff>114300</xdr:colOff>
                    <xdr:row>3</xdr:row>
                    <xdr:rowOff>60960</xdr:rowOff>
                  </from>
                  <to>
                    <xdr:col>16</xdr:col>
                    <xdr:colOff>495300</xdr:colOff>
                    <xdr:row>3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IncCol">
                <anchor moveWithCells="1" sizeWithCells="1">
                  <from>
                    <xdr:col>12</xdr:col>
                    <xdr:colOff>182880</xdr:colOff>
                    <xdr:row>4</xdr:row>
                    <xdr:rowOff>83820</xdr:rowOff>
                  </from>
                  <to>
                    <xdr:col>13</xdr:col>
                    <xdr:colOff>617220</xdr:colOff>
                    <xdr:row>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RGRID">
                <anchor moveWithCells="1">
                  <from>
                    <xdr:col>3</xdr:col>
                    <xdr:colOff>68580</xdr:colOff>
                    <xdr:row>12</xdr:row>
                    <xdr:rowOff>129540</xdr:rowOff>
                  </from>
                  <to>
                    <xdr:col>5</xdr:col>
                    <xdr:colOff>106680</xdr:colOff>
                    <xdr:row>12</xdr:row>
                    <xdr:rowOff>434340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lrSumSngTbl">
                <anchor moveWithCells="1" sizeWithCells="1">
                  <from>
                    <xdr:col>9</xdr:col>
                    <xdr:colOff>76200</xdr:colOff>
                    <xdr:row>15</xdr:row>
                    <xdr:rowOff>114300</xdr:rowOff>
                  </from>
                  <to>
                    <xdr:col>10</xdr:col>
                    <xdr:colOff>464820</xdr:colOff>
                    <xdr:row>15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PossiblesGrid">
                <anchor moveWithCells="1" sizeWithCells="1">
                  <from>
                    <xdr:col>25</xdr:col>
                    <xdr:colOff>129540</xdr:colOff>
                    <xdr:row>3</xdr:row>
                    <xdr:rowOff>68580</xdr:rowOff>
                  </from>
                  <to>
                    <xdr:col>27</xdr:col>
                    <xdr:colOff>403860</xdr:colOff>
                    <xdr:row>3</xdr:row>
                    <xdr:rowOff>434340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SetGivenMacro">
                <anchor moveWithCells="1" sizeWithCells="1">
                  <from>
                    <xdr:col>1</xdr:col>
                    <xdr:colOff>53340</xdr:colOff>
                    <xdr:row>12</xdr:row>
                    <xdr:rowOff>60960</xdr:rowOff>
                  </from>
                  <to>
                    <xdr:col>2</xdr:col>
                    <xdr:colOff>464820</xdr:colOff>
                    <xdr:row>12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UseRedMacro">
                <anchor moveWithCells="1" sizeWithCells="1">
                  <from>
                    <xdr:col>8</xdr:col>
                    <xdr:colOff>76200</xdr:colOff>
                    <xdr:row>12</xdr:row>
                    <xdr:rowOff>144780</xdr:rowOff>
                  </from>
                  <to>
                    <xdr:col>8</xdr:col>
                    <xdr:colOff>419100</xdr:colOff>
                    <xdr:row>12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UseblueMacro">
                <anchor moveWithCells="1" sizeWithCells="1">
                  <from>
                    <xdr:col>7</xdr:col>
                    <xdr:colOff>76200</xdr:colOff>
                    <xdr:row>12</xdr:row>
                    <xdr:rowOff>129540</xdr:rowOff>
                  </from>
                  <to>
                    <xdr:col>7</xdr:col>
                    <xdr:colOff>419100</xdr:colOff>
                    <xdr:row>12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UseGreenMacro">
                <anchor moveWithCells="1" sizeWithCells="1">
                  <from>
                    <xdr:col>6</xdr:col>
                    <xdr:colOff>83820</xdr:colOff>
                    <xdr:row>12</xdr:row>
                    <xdr:rowOff>121920</xdr:rowOff>
                  </from>
                  <to>
                    <xdr:col>6</xdr:col>
                    <xdr:colOff>434340</xdr:colOff>
                    <xdr:row>12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UsePurpleMacro">
                <anchor moveWithCells="1" sizeWithCells="1">
                  <from>
                    <xdr:col>9</xdr:col>
                    <xdr:colOff>76200</xdr:colOff>
                    <xdr:row>12</xdr:row>
                    <xdr:rowOff>129540</xdr:rowOff>
                  </from>
                  <to>
                    <xdr:col>9</xdr:col>
                    <xdr:colOff>419100</xdr:colOff>
                    <xdr:row>12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UseBlackMacro">
                <anchor moveWithCells="1" sizeWithCells="1">
                  <from>
                    <xdr:col>9</xdr:col>
                    <xdr:colOff>68580</xdr:colOff>
                    <xdr:row>13</xdr:row>
                    <xdr:rowOff>83820</xdr:rowOff>
                  </from>
                  <to>
                    <xdr:col>9</xdr:col>
                    <xdr:colOff>403860</xdr:colOff>
                    <xdr:row>13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FilterPairExclusions">
                <anchor moveWithCells="1" sizeWithCells="1">
                  <from>
                    <xdr:col>21</xdr:col>
                    <xdr:colOff>91440</xdr:colOff>
                    <xdr:row>14</xdr:row>
                    <xdr:rowOff>60960</xdr:rowOff>
                  </from>
                  <to>
                    <xdr:col>23</xdr:col>
                    <xdr:colOff>548640</xdr:colOff>
                    <xdr:row>14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LoadSumsGrid">
                <anchor moveWithCells="1" sizeWithCells="1">
                  <from>
                    <xdr:col>6</xdr:col>
                    <xdr:colOff>53340</xdr:colOff>
                    <xdr:row>15</xdr:row>
                    <xdr:rowOff>114300</xdr:rowOff>
                  </from>
                  <to>
                    <xdr:col>7</xdr:col>
                    <xdr:colOff>457200</xdr:colOff>
                    <xdr:row>15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ClearPossValsTbl">
                <anchor moveWithCells="1" sizeWithCells="1">
                  <from>
                    <xdr:col>23</xdr:col>
                    <xdr:colOff>114300</xdr:colOff>
                    <xdr:row>3</xdr:row>
                    <xdr:rowOff>114300</xdr:rowOff>
                  </from>
                  <to>
                    <xdr:col>24</xdr:col>
                    <xdr:colOff>464820</xdr:colOff>
                    <xdr:row>3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ClearInitGridStore">
                <anchor moveWithCells="1" sizeWithCells="1">
                  <from>
                    <xdr:col>15</xdr:col>
                    <xdr:colOff>91440</xdr:colOff>
                    <xdr:row>27</xdr:row>
                    <xdr:rowOff>175260</xdr:rowOff>
                  </from>
                  <to>
                    <xdr:col>16</xdr:col>
                    <xdr:colOff>510540</xdr:colOff>
                    <xdr:row>27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DoBoxPairs">
                <anchor moveWithCells="1" sizeWithCells="1">
                  <from>
                    <xdr:col>24</xdr:col>
                    <xdr:colOff>182880</xdr:colOff>
                    <xdr:row>14</xdr:row>
                    <xdr:rowOff>60960</xdr:rowOff>
                  </from>
                  <to>
                    <xdr:col>26</xdr:col>
                    <xdr:colOff>419100</xdr:colOff>
                    <xdr:row>14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ReloadStoredGrid">
                <anchor moveWithCells="1" sizeWithCells="1">
                  <from>
                    <xdr:col>1</xdr:col>
                    <xdr:colOff>350520</xdr:colOff>
                    <xdr:row>13</xdr:row>
                    <xdr:rowOff>76200</xdr:rowOff>
                  </from>
                  <to>
                    <xdr:col>4</xdr:col>
                    <xdr:colOff>190500</xdr:colOff>
                    <xdr:row>13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FindOnlyOnePossible">
                <anchor moveWithCells="1" sizeWithCells="1">
                  <from>
                    <xdr:col>23</xdr:col>
                    <xdr:colOff>304800</xdr:colOff>
                    <xdr:row>16</xdr:row>
                    <xdr:rowOff>106680</xdr:rowOff>
                  </from>
                  <to>
                    <xdr:col>27</xdr:col>
                    <xdr:colOff>541020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2" name="Button 22">
              <controlPr defaultSize="0" print="0" autoFill="0" autoPict="0" macro="[0]!FindUniqueRowVals">
                <anchor moveWithCells="1" sizeWithCells="1">
                  <from>
                    <xdr:col>28</xdr:col>
                    <xdr:colOff>106680</xdr:colOff>
                    <xdr:row>18</xdr:row>
                    <xdr:rowOff>175260</xdr:rowOff>
                  </from>
                  <to>
                    <xdr:col>28</xdr:col>
                    <xdr:colOff>525780</xdr:colOff>
                    <xdr:row>24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3" name="Button 23">
              <controlPr defaultSize="0" print="0" autoFill="0" autoPict="0" macro="[0]!ClrOPVtable">
                <anchor moveWithCells="1" sizeWithCells="1">
                  <from>
                    <xdr:col>21</xdr:col>
                    <xdr:colOff>129540</xdr:colOff>
                    <xdr:row>16</xdr:row>
                    <xdr:rowOff>83820</xdr:rowOff>
                  </from>
                  <to>
                    <xdr:col>22</xdr:col>
                    <xdr:colOff>472440</xdr:colOff>
                    <xdr:row>16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4" name="Button 24">
              <controlPr defaultSize="0" print="0" autoFill="0" autoPict="0" macro="[0]!ClearAllGridsAndTables">
                <anchor moveWithCells="1" sizeWithCells="1">
                  <from>
                    <xdr:col>20</xdr:col>
                    <xdr:colOff>144780</xdr:colOff>
                    <xdr:row>1</xdr:row>
                    <xdr:rowOff>91440</xdr:rowOff>
                  </from>
                  <to>
                    <xdr:col>24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5" name="Button 25">
              <controlPr defaultSize="0" print="0" autoFill="0" autoPict="0" macro="[0]!ALockProgram">
                <anchor moveWithCells="1" sizeWithCells="1">
                  <from>
                    <xdr:col>16</xdr:col>
                    <xdr:colOff>274320</xdr:colOff>
                    <xdr:row>5</xdr:row>
                    <xdr:rowOff>83820</xdr:rowOff>
                  </from>
                  <to>
                    <xdr:col>17</xdr:col>
                    <xdr:colOff>480060</xdr:colOff>
                    <xdr:row>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6" name="Button 26">
              <controlPr defaultSize="0" print="0" autoFill="0" autoPict="0" macro="[0]!AUnLockProgram">
                <anchor moveWithCells="1" sizeWithCells="1">
                  <from>
                    <xdr:col>16</xdr:col>
                    <xdr:colOff>266700</xdr:colOff>
                    <xdr:row>6</xdr:row>
                    <xdr:rowOff>76200</xdr:rowOff>
                  </from>
                  <to>
                    <xdr:col>17</xdr:col>
                    <xdr:colOff>518160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7" name="Button 27">
              <controlPr defaultSize="0" print="0" autoFill="0" autoPict="0" macro="[0]!Sheet6.HideRibbon">
                <anchor moveWithCells="1" sizeWithCells="1">
                  <from>
                    <xdr:col>11</xdr:col>
                    <xdr:colOff>60960</xdr:colOff>
                    <xdr:row>1</xdr:row>
                    <xdr:rowOff>91440</xdr:rowOff>
                  </from>
                  <to>
                    <xdr:col>12</xdr:col>
                    <xdr:colOff>586740</xdr:colOff>
                    <xdr:row>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8" name="Button 28">
              <controlPr defaultSize="0" print="0" autoFill="0" autoPict="0" macro="[0]!PlayAllSounds" altText="PLAY ALL SOUNDS">
                <anchor moveWithCells="1" sizeWithCells="1">
                  <from>
                    <xdr:col>1</xdr:col>
                    <xdr:colOff>106680</xdr:colOff>
                    <xdr:row>52</xdr:row>
                    <xdr:rowOff>0</xdr:rowOff>
                  </from>
                  <to>
                    <xdr:col>6</xdr:col>
                    <xdr:colOff>22860</xdr:colOff>
                    <xdr:row>53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BZ121"/>
  <sheetViews>
    <sheetView zoomScale="35" zoomScaleNormal="35" workbookViewId="0">
      <selection activeCell="X17" sqref="X17:AF25"/>
    </sheetView>
  </sheetViews>
  <sheetFormatPr defaultRowHeight="14.4" x14ac:dyDescent="0.3"/>
  <sheetData>
    <row r="1" spans="2:78" s="184" customFormat="1" ht="24.75" customHeight="1" thickBot="1" x14ac:dyDescent="0.4">
      <c r="B1" s="184" t="s">
        <v>137</v>
      </c>
      <c r="M1" s="184" t="s">
        <v>173</v>
      </c>
      <c r="X1" s="184" t="s">
        <v>141</v>
      </c>
      <c r="AI1" s="184" t="s">
        <v>223</v>
      </c>
      <c r="AT1" s="184" t="s">
        <v>52</v>
      </c>
      <c r="BE1" s="184" t="s">
        <v>136</v>
      </c>
      <c r="BR1" s="184" t="s">
        <v>226</v>
      </c>
    </row>
    <row r="2" spans="2:78" ht="33.6" x14ac:dyDescent="0.65">
      <c r="B2" s="339" t="s">
        <v>24</v>
      </c>
      <c r="C2" s="340"/>
      <c r="D2" s="340"/>
      <c r="E2" s="340"/>
      <c r="F2" s="340"/>
      <c r="G2" s="340"/>
      <c r="H2" s="340"/>
      <c r="I2" s="340"/>
      <c r="J2" s="358"/>
      <c r="M2" s="339" t="s">
        <v>24</v>
      </c>
      <c r="N2" s="340"/>
      <c r="O2" s="340"/>
      <c r="P2" s="340"/>
      <c r="Q2" s="340"/>
      <c r="R2" s="340"/>
      <c r="S2" s="340"/>
      <c r="T2" s="340"/>
      <c r="U2" s="358"/>
      <c r="X2" s="251" t="s">
        <v>24</v>
      </c>
      <c r="Y2" s="252"/>
      <c r="Z2" s="252"/>
      <c r="AA2" s="252"/>
      <c r="AB2" s="252"/>
      <c r="AC2" s="252"/>
      <c r="AD2" s="252"/>
      <c r="AE2" s="252"/>
      <c r="AF2" s="253"/>
      <c r="AI2" s="339" t="s">
        <v>24</v>
      </c>
      <c r="AJ2" s="340"/>
      <c r="AK2" s="340"/>
      <c r="AL2" s="340"/>
      <c r="AM2" s="340"/>
      <c r="AN2" s="340"/>
      <c r="AO2" s="340"/>
      <c r="AP2" s="340"/>
      <c r="AQ2" s="339"/>
      <c r="AT2" s="339" t="s">
        <v>24</v>
      </c>
      <c r="AU2" s="340"/>
      <c r="AV2" s="340"/>
      <c r="AW2" s="340"/>
      <c r="AX2" s="340"/>
      <c r="AY2" s="340"/>
      <c r="AZ2" s="340"/>
      <c r="BA2" s="340"/>
      <c r="BB2" s="358"/>
      <c r="BE2" s="339" t="s">
        <v>24</v>
      </c>
      <c r="BF2" s="340"/>
      <c r="BG2" s="340"/>
      <c r="BH2" s="340"/>
      <c r="BI2" s="340"/>
      <c r="BJ2" s="340"/>
      <c r="BK2" s="340"/>
      <c r="BL2" s="340"/>
      <c r="BM2" s="358"/>
      <c r="BR2" s="356" t="s">
        <v>24</v>
      </c>
      <c r="BS2" s="357"/>
      <c r="BT2" s="357"/>
      <c r="BU2" s="357"/>
      <c r="BV2" s="357"/>
      <c r="BW2" s="357"/>
      <c r="BX2" s="357"/>
      <c r="BY2" s="357"/>
      <c r="BZ2" s="356"/>
    </row>
    <row r="3" spans="2:78" ht="28.8" thickBot="1" x14ac:dyDescent="0.6">
      <c r="B3" s="44" t="s">
        <v>23</v>
      </c>
      <c r="C3" s="44" t="s">
        <v>20</v>
      </c>
      <c r="D3" s="44" t="s">
        <v>31</v>
      </c>
      <c r="E3" s="44" t="s">
        <v>25</v>
      </c>
      <c r="F3" s="44" t="s">
        <v>26</v>
      </c>
      <c r="G3" s="44" t="s">
        <v>27</v>
      </c>
      <c r="H3" s="44" t="s">
        <v>28</v>
      </c>
      <c r="I3" s="44" t="s">
        <v>29</v>
      </c>
      <c r="J3" s="45" t="s">
        <v>30</v>
      </c>
      <c r="M3" s="44" t="s">
        <v>23</v>
      </c>
      <c r="N3" s="44" t="s">
        <v>20</v>
      </c>
      <c r="O3" s="44" t="s">
        <v>31</v>
      </c>
      <c r="P3" s="44" t="s">
        <v>25</v>
      </c>
      <c r="Q3" s="44" t="s">
        <v>26</v>
      </c>
      <c r="R3" s="44" t="s">
        <v>27</v>
      </c>
      <c r="S3" s="44" t="s">
        <v>28</v>
      </c>
      <c r="T3" s="44" t="s">
        <v>29</v>
      </c>
      <c r="U3" s="45" t="s">
        <v>30</v>
      </c>
      <c r="X3" s="44" t="s">
        <v>23</v>
      </c>
      <c r="Y3" s="44" t="s">
        <v>20</v>
      </c>
      <c r="Z3" s="44" t="s">
        <v>31</v>
      </c>
      <c r="AA3" s="44" t="s">
        <v>25</v>
      </c>
      <c r="AB3" s="44" t="s">
        <v>26</v>
      </c>
      <c r="AC3" s="44" t="s">
        <v>27</v>
      </c>
      <c r="AD3" s="44" t="s">
        <v>28</v>
      </c>
      <c r="AE3" s="44" t="s">
        <v>29</v>
      </c>
      <c r="AF3" s="45" t="s">
        <v>30</v>
      </c>
      <c r="AI3" s="44" t="s">
        <v>23</v>
      </c>
      <c r="AJ3" s="44" t="s">
        <v>20</v>
      </c>
      <c r="AK3" s="44" t="s">
        <v>31</v>
      </c>
      <c r="AL3" s="44" t="s">
        <v>25</v>
      </c>
      <c r="AM3" s="44" t="s">
        <v>26</v>
      </c>
      <c r="AN3" s="44" t="s">
        <v>27</v>
      </c>
      <c r="AO3" s="44" t="s">
        <v>28</v>
      </c>
      <c r="AP3" s="44" t="s">
        <v>29</v>
      </c>
      <c r="AQ3" s="44" t="s">
        <v>30</v>
      </c>
      <c r="AT3" s="44" t="s">
        <v>23</v>
      </c>
      <c r="AU3" s="44" t="s">
        <v>20</v>
      </c>
      <c r="AV3" s="44" t="s">
        <v>31</v>
      </c>
      <c r="AW3" s="44" t="s">
        <v>25</v>
      </c>
      <c r="AX3" s="44" t="s">
        <v>26</v>
      </c>
      <c r="AY3" s="44" t="s">
        <v>27</v>
      </c>
      <c r="AZ3" s="44" t="s">
        <v>28</v>
      </c>
      <c r="BA3" s="44" t="s">
        <v>29</v>
      </c>
      <c r="BB3" s="45" t="s">
        <v>30</v>
      </c>
      <c r="BE3" s="44" t="s">
        <v>23</v>
      </c>
      <c r="BF3" s="44" t="s">
        <v>20</v>
      </c>
      <c r="BG3" s="44" t="s">
        <v>31</v>
      </c>
      <c r="BH3" s="44" t="s">
        <v>25</v>
      </c>
      <c r="BI3" s="44" t="s">
        <v>26</v>
      </c>
      <c r="BJ3" s="44" t="s">
        <v>27</v>
      </c>
      <c r="BK3" s="44" t="s">
        <v>28</v>
      </c>
      <c r="BL3" s="44" t="s">
        <v>29</v>
      </c>
      <c r="BM3" s="45" t="s">
        <v>30</v>
      </c>
      <c r="BR3" s="272" t="s">
        <v>23</v>
      </c>
      <c r="BS3" s="272" t="s">
        <v>20</v>
      </c>
      <c r="BT3" s="272" t="s">
        <v>31</v>
      </c>
      <c r="BU3" s="272" t="s">
        <v>25</v>
      </c>
      <c r="BV3" s="272" t="s">
        <v>26</v>
      </c>
      <c r="BW3" s="272" t="s">
        <v>27</v>
      </c>
      <c r="BX3" s="272" t="s">
        <v>28</v>
      </c>
      <c r="BY3" s="272" t="s">
        <v>29</v>
      </c>
      <c r="BZ3" s="272" t="s">
        <v>30</v>
      </c>
    </row>
    <row r="4" spans="2:78" ht="46.2" x14ac:dyDescent="0.3">
      <c r="B4" s="67"/>
      <c r="C4" s="68">
        <v>6</v>
      </c>
      <c r="D4" s="69">
        <v>2</v>
      </c>
      <c r="E4" s="70"/>
      <c r="F4" s="71">
        <v>8</v>
      </c>
      <c r="G4" s="72">
        <v>3</v>
      </c>
      <c r="H4" s="67"/>
      <c r="I4" s="68">
        <v>1</v>
      </c>
      <c r="J4" s="69"/>
      <c r="M4" s="67"/>
      <c r="N4" s="68">
        <v>8</v>
      </c>
      <c r="O4" s="69">
        <v>4</v>
      </c>
      <c r="P4" s="70">
        <v>1</v>
      </c>
      <c r="Q4" s="71">
        <v>7</v>
      </c>
      <c r="R4" s="72">
        <v>2</v>
      </c>
      <c r="S4" s="67">
        <v>5</v>
      </c>
      <c r="T4" s="68">
        <v>3</v>
      </c>
      <c r="U4" s="69"/>
      <c r="X4" s="67">
        <v>2</v>
      </c>
      <c r="Y4" s="68">
        <v>3</v>
      </c>
      <c r="Z4" s="69"/>
      <c r="AA4" s="70">
        <v>8</v>
      </c>
      <c r="AB4" s="71"/>
      <c r="AC4" s="72">
        <v>5</v>
      </c>
      <c r="AD4" s="67"/>
      <c r="AE4" s="68"/>
      <c r="AF4" s="69"/>
      <c r="AI4" s="67"/>
      <c r="AJ4" s="68"/>
      <c r="AK4" s="69">
        <v>1</v>
      </c>
      <c r="AL4" s="70"/>
      <c r="AM4" s="71">
        <v>6</v>
      </c>
      <c r="AN4" s="72">
        <v>2</v>
      </c>
      <c r="AO4" s="67"/>
      <c r="AP4" s="68">
        <v>4</v>
      </c>
      <c r="AQ4" s="69"/>
      <c r="AT4" s="227"/>
      <c r="AU4" s="228">
        <v>4</v>
      </c>
      <c r="AV4" s="229">
        <v>3</v>
      </c>
      <c r="AW4" s="230"/>
      <c r="AX4" s="231"/>
      <c r="AY4" s="232">
        <v>2</v>
      </c>
      <c r="AZ4" s="227"/>
      <c r="BA4" s="228"/>
      <c r="BB4" s="229"/>
      <c r="BE4" s="67"/>
      <c r="BF4" s="68">
        <v>4</v>
      </c>
      <c r="BG4" s="69">
        <v>3</v>
      </c>
      <c r="BH4" s="70"/>
      <c r="BI4" s="71"/>
      <c r="BJ4" s="72">
        <v>2</v>
      </c>
      <c r="BK4" s="67"/>
      <c r="BL4" s="68"/>
      <c r="BM4" s="69"/>
      <c r="BR4" s="273"/>
      <c r="BS4" s="274">
        <v>8</v>
      </c>
      <c r="BT4" s="275">
        <v>6</v>
      </c>
      <c r="BU4" s="273">
        <v>2</v>
      </c>
      <c r="BV4" s="274">
        <v>4</v>
      </c>
      <c r="BW4" s="275"/>
      <c r="BX4" s="273"/>
      <c r="BY4" s="274"/>
      <c r="BZ4" s="275"/>
    </row>
    <row r="5" spans="2:78" ht="46.2" x14ac:dyDescent="0.3">
      <c r="B5" s="73">
        <v>4</v>
      </c>
      <c r="C5" s="74"/>
      <c r="D5" s="75"/>
      <c r="E5" s="76"/>
      <c r="F5" s="77">
        <v>9</v>
      </c>
      <c r="G5" s="78"/>
      <c r="H5" s="73"/>
      <c r="I5" s="74">
        <v>8</v>
      </c>
      <c r="J5" s="75">
        <v>3</v>
      </c>
      <c r="M5" s="73"/>
      <c r="N5" s="74">
        <v>9</v>
      </c>
      <c r="O5" s="75"/>
      <c r="P5" s="76"/>
      <c r="Q5" s="77"/>
      <c r="R5" s="78"/>
      <c r="S5" s="73"/>
      <c r="T5" s="74">
        <v>6</v>
      </c>
      <c r="U5" s="75"/>
      <c r="X5" s="73"/>
      <c r="Y5" s="74"/>
      <c r="Z5" s="75">
        <v>8</v>
      </c>
      <c r="AA5" s="76">
        <v>2</v>
      </c>
      <c r="AB5" s="77"/>
      <c r="AC5" s="78"/>
      <c r="AD5" s="73"/>
      <c r="AE5" s="74"/>
      <c r="AF5" s="75">
        <v>3</v>
      </c>
      <c r="AI5" s="73"/>
      <c r="AJ5" s="74"/>
      <c r="AK5" s="75"/>
      <c r="AL5" s="76"/>
      <c r="AM5" s="77">
        <v>7</v>
      </c>
      <c r="AN5" s="78">
        <v>5</v>
      </c>
      <c r="AO5" s="73"/>
      <c r="AP5" s="74">
        <v>2</v>
      </c>
      <c r="AQ5" s="75"/>
      <c r="AT5" s="233">
        <v>7</v>
      </c>
      <c r="AU5" s="234">
        <v>8</v>
      </c>
      <c r="AV5" s="235"/>
      <c r="AW5" s="236"/>
      <c r="AX5" s="237"/>
      <c r="AY5" s="238"/>
      <c r="AZ5" s="233">
        <v>4</v>
      </c>
      <c r="BA5" s="234">
        <v>3</v>
      </c>
      <c r="BB5" s="235">
        <v>5</v>
      </c>
      <c r="BE5" s="73">
        <v>7</v>
      </c>
      <c r="BF5" s="74">
        <v>8</v>
      </c>
      <c r="BG5" s="75"/>
      <c r="BH5" s="76"/>
      <c r="BI5" s="77"/>
      <c r="BJ5" s="78"/>
      <c r="BK5" s="73">
        <v>4</v>
      </c>
      <c r="BL5" s="74">
        <v>3</v>
      </c>
      <c r="BM5" s="75">
        <v>5</v>
      </c>
      <c r="BR5" s="276">
        <v>9</v>
      </c>
      <c r="BS5" s="277">
        <v>3</v>
      </c>
      <c r="BT5" s="278"/>
      <c r="BU5" s="276"/>
      <c r="BV5" s="277">
        <v>8</v>
      </c>
      <c r="BW5" s="278">
        <v>1</v>
      </c>
      <c r="BX5" s="276"/>
      <c r="BY5" s="277"/>
      <c r="BZ5" s="278"/>
    </row>
    <row r="6" spans="2:78" ht="46.8" thickBot="1" x14ac:dyDescent="0.35">
      <c r="B6" s="79">
        <v>8</v>
      </c>
      <c r="C6" s="80">
        <v>9</v>
      </c>
      <c r="D6" s="81"/>
      <c r="E6" s="82"/>
      <c r="F6" s="83">
        <v>2</v>
      </c>
      <c r="G6" s="84"/>
      <c r="H6" s="79"/>
      <c r="I6" s="80"/>
      <c r="J6" s="81"/>
      <c r="M6" s="79"/>
      <c r="N6" s="80"/>
      <c r="O6" s="81"/>
      <c r="P6" s="82">
        <v>4</v>
      </c>
      <c r="Q6" s="83"/>
      <c r="R6" s="84"/>
      <c r="S6" s="79">
        <v>8</v>
      </c>
      <c r="T6" s="80"/>
      <c r="U6" s="81"/>
      <c r="X6" s="79"/>
      <c r="Y6" s="80"/>
      <c r="Z6" s="81">
        <v>4</v>
      </c>
      <c r="AA6" s="82">
        <v>6</v>
      </c>
      <c r="AB6" s="83">
        <v>3</v>
      </c>
      <c r="AC6" s="84"/>
      <c r="AD6" s="79"/>
      <c r="AE6" s="80"/>
      <c r="AF6" s="81">
        <v>8</v>
      </c>
      <c r="AI6" s="79"/>
      <c r="AJ6" s="80"/>
      <c r="AK6" s="81">
        <v>7</v>
      </c>
      <c r="AL6" s="82">
        <v>4</v>
      </c>
      <c r="AM6" s="83"/>
      <c r="AN6" s="84"/>
      <c r="AO6" s="79"/>
      <c r="AP6" s="80"/>
      <c r="AQ6" s="81">
        <v>6</v>
      </c>
      <c r="AT6" s="239">
        <v>6</v>
      </c>
      <c r="AU6" s="240"/>
      <c r="AV6" s="241"/>
      <c r="AW6" s="242"/>
      <c r="AX6" s="243"/>
      <c r="AY6" s="244">
        <v>7</v>
      </c>
      <c r="AZ6" s="239"/>
      <c r="BA6" s="240">
        <v>2</v>
      </c>
      <c r="BB6" s="241"/>
      <c r="BE6" s="79">
        <v>6</v>
      </c>
      <c r="BF6" s="80"/>
      <c r="BG6" s="81"/>
      <c r="BH6" s="82"/>
      <c r="BI6" s="83"/>
      <c r="BJ6" s="84">
        <v>7</v>
      </c>
      <c r="BK6" s="79"/>
      <c r="BL6" s="80">
        <v>2</v>
      </c>
      <c r="BM6" s="81"/>
      <c r="BR6" s="279"/>
      <c r="BS6" s="280">
        <v>2</v>
      </c>
      <c r="BT6" s="281"/>
      <c r="BU6" s="279"/>
      <c r="BV6" s="280">
        <v>5</v>
      </c>
      <c r="BW6" s="281"/>
      <c r="BX6" s="279">
        <v>8</v>
      </c>
      <c r="BY6" s="280">
        <v>3</v>
      </c>
      <c r="BZ6" s="281"/>
    </row>
    <row r="7" spans="2:78" ht="46.2" x14ac:dyDescent="0.3">
      <c r="B7" s="70"/>
      <c r="C7" s="71"/>
      <c r="D7" s="72">
        <v>7</v>
      </c>
      <c r="E7" s="67"/>
      <c r="F7" s="68"/>
      <c r="G7" s="69">
        <v>2</v>
      </c>
      <c r="H7" s="70">
        <v>6</v>
      </c>
      <c r="I7" s="71">
        <v>4</v>
      </c>
      <c r="J7" s="72">
        <v>1</v>
      </c>
      <c r="M7" s="70"/>
      <c r="N7" s="71">
        <v>1</v>
      </c>
      <c r="O7" s="72"/>
      <c r="P7" s="67"/>
      <c r="Q7" s="68">
        <v>4</v>
      </c>
      <c r="R7" s="69"/>
      <c r="S7" s="70">
        <v>2</v>
      </c>
      <c r="T7" s="71"/>
      <c r="U7" s="72"/>
      <c r="X7" s="70"/>
      <c r="Y7" s="71"/>
      <c r="Z7" s="72"/>
      <c r="AA7" s="67"/>
      <c r="AB7" s="68">
        <v>2</v>
      </c>
      <c r="AC7" s="69"/>
      <c r="AD7" s="70">
        <v>1</v>
      </c>
      <c r="AE7" s="71"/>
      <c r="AF7" s="72"/>
      <c r="AI7" s="70"/>
      <c r="AJ7" s="71"/>
      <c r="AK7" s="72"/>
      <c r="AL7" s="67"/>
      <c r="AM7" s="68"/>
      <c r="AN7" s="69">
        <v>6</v>
      </c>
      <c r="AO7" s="70"/>
      <c r="AP7" s="71">
        <v>9</v>
      </c>
      <c r="AQ7" s="72">
        <v>4</v>
      </c>
      <c r="AT7" s="230"/>
      <c r="AU7" s="231">
        <v>7</v>
      </c>
      <c r="AV7" s="232">
        <v>5</v>
      </c>
      <c r="AW7" s="227"/>
      <c r="AX7" s="228"/>
      <c r="AY7" s="229">
        <v>3</v>
      </c>
      <c r="AZ7" s="230"/>
      <c r="BA7" s="231">
        <v>1</v>
      </c>
      <c r="BB7" s="232"/>
      <c r="BE7" s="70"/>
      <c r="BF7" s="71">
        <v>7</v>
      </c>
      <c r="BG7" s="72">
        <v>5</v>
      </c>
      <c r="BH7" s="67"/>
      <c r="BI7" s="68"/>
      <c r="BJ7" s="69">
        <v>3</v>
      </c>
      <c r="BK7" s="70"/>
      <c r="BL7" s="71">
        <v>1</v>
      </c>
      <c r="BM7" s="72"/>
      <c r="BR7" s="273">
        <v>2</v>
      </c>
      <c r="BS7" s="274"/>
      <c r="BT7" s="275"/>
      <c r="BU7" s="273">
        <v>4</v>
      </c>
      <c r="BV7" s="274"/>
      <c r="BW7" s="275"/>
      <c r="BX7" s="273"/>
      <c r="BY7" s="274">
        <v>9</v>
      </c>
      <c r="BZ7" s="275">
        <v>7</v>
      </c>
    </row>
    <row r="8" spans="2:78" ht="46.2" x14ac:dyDescent="0.3">
      <c r="B8" s="76">
        <v>2</v>
      </c>
      <c r="C8" s="77">
        <v>4</v>
      </c>
      <c r="D8" s="78"/>
      <c r="E8" s="73"/>
      <c r="F8" s="74">
        <v>1</v>
      </c>
      <c r="G8" s="75"/>
      <c r="H8" s="76"/>
      <c r="I8" s="77">
        <v>5</v>
      </c>
      <c r="J8" s="78">
        <v>7</v>
      </c>
      <c r="M8" s="76">
        <v>7</v>
      </c>
      <c r="N8" s="77">
        <v>2</v>
      </c>
      <c r="O8" s="78"/>
      <c r="P8" s="73"/>
      <c r="Q8" s="74">
        <v>3</v>
      </c>
      <c r="R8" s="75"/>
      <c r="S8" s="76"/>
      <c r="T8" s="77">
        <v>1</v>
      </c>
      <c r="U8" s="78">
        <v>8</v>
      </c>
      <c r="X8" s="76">
        <v>8</v>
      </c>
      <c r="Y8" s="77">
        <v>2</v>
      </c>
      <c r="Z8" s="78"/>
      <c r="AA8" s="73"/>
      <c r="AB8" s="74">
        <v>5</v>
      </c>
      <c r="AC8" s="75"/>
      <c r="AD8" s="76"/>
      <c r="AE8" s="77">
        <v>6</v>
      </c>
      <c r="AF8" s="78">
        <v>7</v>
      </c>
      <c r="AI8" s="76"/>
      <c r="AJ8" s="77"/>
      <c r="AK8" s="78">
        <v>9</v>
      </c>
      <c r="AL8" s="73">
        <v>2</v>
      </c>
      <c r="AM8" s="74">
        <v>8</v>
      </c>
      <c r="AN8" s="75">
        <v>4</v>
      </c>
      <c r="AO8" s="76">
        <v>5</v>
      </c>
      <c r="AP8" s="77"/>
      <c r="AQ8" s="78"/>
      <c r="AT8" s="236"/>
      <c r="AU8" s="237"/>
      <c r="AV8" s="238">
        <v>4</v>
      </c>
      <c r="AW8" s="233"/>
      <c r="AX8" s="234"/>
      <c r="AY8" s="235"/>
      <c r="AZ8" s="236">
        <v>5</v>
      </c>
      <c r="BA8" s="237"/>
      <c r="BB8" s="238"/>
      <c r="BE8" s="76"/>
      <c r="BF8" s="77"/>
      <c r="BG8" s="78">
        <v>4</v>
      </c>
      <c r="BH8" s="73"/>
      <c r="BI8" s="74"/>
      <c r="BJ8" s="75"/>
      <c r="BK8" s="76">
        <v>5</v>
      </c>
      <c r="BL8" s="77"/>
      <c r="BM8" s="78"/>
      <c r="BR8" s="276">
        <v>8</v>
      </c>
      <c r="BS8" s="277">
        <v>7</v>
      </c>
      <c r="BT8" s="278"/>
      <c r="BU8" s="276">
        <v>3</v>
      </c>
      <c r="BV8" s="277">
        <v>9</v>
      </c>
      <c r="BW8" s="278">
        <v>5</v>
      </c>
      <c r="BX8" s="276"/>
      <c r="BY8" s="277">
        <v>4</v>
      </c>
      <c r="BZ8" s="278">
        <v>2</v>
      </c>
    </row>
    <row r="9" spans="2:78" ht="46.8" thickBot="1" x14ac:dyDescent="0.35">
      <c r="B9" s="82">
        <v>6</v>
      </c>
      <c r="C9" s="83">
        <v>1</v>
      </c>
      <c r="D9" s="84">
        <v>5</v>
      </c>
      <c r="E9" s="79">
        <v>4</v>
      </c>
      <c r="F9" s="80"/>
      <c r="G9" s="81"/>
      <c r="H9" s="82">
        <v>3</v>
      </c>
      <c r="I9" s="83"/>
      <c r="J9" s="84"/>
      <c r="M9" s="82"/>
      <c r="N9" s="83"/>
      <c r="O9" s="84">
        <v>6</v>
      </c>
      <c r="P9" s="79"/>
      <c r="Q9" s="80">
        <v>5</v>
      </c>
      <c r="R9" s="81"/>
      <c r="S9" s="82"/>
      <c r="T9" s="83">
        <v>7</v>
      </c>
      <c r="U9" s="84"/>
      <c r="X9" s="82"/>
      <c r="Y9" s="83"/>
      <c r="Z9" s="84">
        <v>9</v>
      </c>
      <c r="AA9" s="79"/>
      <c r="AB9" s="80">
        <v>4</v>
      </c>
      <c r="AC9" s="81"/>
      <c r="AD9" s="82"/>
      <c r="AE9" s="83"/>
      <c r="AF9" s="84"/>
      <c r="AI9" s="82">
        <v>4</v>
      </c>
      <c r="AJ9" s="83">
        <v>5</v>
      </c>
      <c r="AK9" s="84"/>
      <c r="AL9" s="79">
        <v>3</v>
      </c>
      <c r="AM9" s="80"/>
      <c r="AN9" s="81"/>
      <c r="AO9" s="82"/>
      <c r="AP9" s="83"/>
      <c r="AQ9" s="84"/>
      <c r="AT9" s="242"/>
      <c r="AU9" s="243">
        <v>6</v>
      </c>
      <c r="AV9" s="244"/>
      <c r="AW9" s="239">
        <v>5</v>
      </c>
      <c r="AX9" s="240"/>
      <c r="AY9" s="241"/>
      <c r="AZ9" s="242">
        <v>2</v>
      </c>
      <c r="BA9" s="243">
        <v>4</v>
      </c>
      <c r="BB9" s="244"/>
      <c r="BE9" s="82"/>
      <c r="BF9" s="83">
        <v>6</v>
      </c>
      <c r="BG9" s="84"/>
      <c r="BH9" s="79">
        <v>5</v>
      </c>
      <c r="BI9" s="80"/>
      <c r="BJ9" s="81"/>
      <c r="BK9" s="82">
        <v>2</v>
      </c>
      <c r="BL9" s="83">
        <v>4</v>
      </c>
      <c r="BM9" s="84"/>
      <c r="BR9" s="279">
        <v>4</v>
      </c>
      <c r="BS9" s="280">
        <v>6</v>
      </c>
      <c r="BT9" s="281"/>
      <c r="BU9" s="279"/>
      <c r="BV9" s="280"/>
      <c r="BW9" s="281">
        <v>7</v>
      </c>
      <c r="BX9" s="279"/>
      <c r="BY9" s="280"/>
      <c r="BZ9" s="281">
        <v>5</v>
      </c>
    </row>
    <row r="10" spans="2:78" ht="46.2" x14ac:dyDescent="0.3">
      <c r="B10" s="67"/>
      <c r="C10" s="68"/>
      <c r="D10" s="69"/>
      <c r="E10" s="70"/>
      <c r="F10" s="71">
        <v>6</v>
      </c>
      <c r="G10" s="72"/>
      <c r="H10" s="67"/>
      <c r="I10" s="68">
        <v>3</v>
      </c>
      <c r="J10" s="69">
        <v>2</v>
      </c>
      <c r="M10" s="67"/>
      <c r="N10" s="68"/>
      <c r="O10" s="69">
        <v>7</v>
      </c>
      <c r="P10" s="70"/>
      <c r="Q10" s="71"/>
      <c r="R10" s="72">
        <v>8</v>
      </c>
      <c r="S10" s="67"/>
      <c r="T10" s="68"/>
      <c r="U10" s="69"/>
      <c r="X10" s="67">
        <v>5</v>
      </c>
      <c r="Y10" s="68"/>
      <c r="Z10" s="69"/>
      <c r="AA10" s="70"/>
      <c r="AB10" s="71">
        <v>6</v>
      </c>
      <c r="AC10" s="72">
        <v>3</v>
      </c>
      <c r="AD10" s="67">
        <v>7</v>
      </c>
      <c r="AE10" s="68"/>
      <c r="AF10" s="69"/>
      <c r="AI10" s="67">
        <v>6</v>
      </c>
      <c r="AJ10" s="68"/>
      <c r="AK10" s="69"/>
      <c r="AL10" s="70"/>
      <c r="AM10" s="71"/>
      <c r="AN10" s="72">
        <v>3</v>
      </c>
      <c r="AO10" s="67">
        <v>2</v>
      </c>
      <c r="AP10" s="68"/>
      <c r="AQ10" s="69"/>
      <c r="AT10" s="227"/>
      <c r="AU10" s="228"/>
      <c r="AV10" s="229"/>
      <c r="AW10" s="230">
        <v>7</v>
      </c>
      <c r="AX10" s="231"/>
      <c r="AY10" s="232"/>
      <c r="AZ10" s="227"/>
      <c r="BA10" s="228"/>
      <c r="BB10" s="229">
        <v>2</v>
      </c>
      <c r="BE10" s="67"/>
      <c r="BF10" s="68"/>
      <c r="BG10" s="69"/>
      <c r="BH10" s="70">
        <v>7</v>
      </c>
      <c r="BI10" s="71"/>
      <c r="BJ10" s="72"/>
      <c r="BK10" s="67"/>
      <c r="BL10" s="68"/>
      <c r="BM10" s="69">
        <v>2</v>
      </c>
      <c r="BR10" s="273"/>
      <c r="BS10" s="274">
        <v>1</v>
      </c>
      <c r="BT10" s="275">
        <v>5</v>
      </c>
      <c r="BU10" s="273"/>
      <c r="BV10" s="274">
        <v>7</v>
      </c>
      <c r="BW10" s="275"/>
      <c r="BX10" s="273"/>
      <c r="BY10" s="274">
        <v>6</v>
      </c>
      <c r="BZ10" s="275"/>
    </row>
    <row r="11" spans="2:78" ht="46.2" x14ac:dyDescent="0.3">
      <c r="B11" s="73">
        <v>1</v>
      </c>
      <c r="C11" s="74">
        <v>7</v>
      </c>
      <c r="D11" s="75"/>
      <c r="E11" s="76"/>
      <c r="F11" s="77">
        <v>3</v>
      </c>
      <c r="G11" s="78"/>
      <c r="H11" s="73"/>
      <c r="I11" s="74"/>
      <c r="J11" s="75">
        <v>4</v>
      </c>
      <c r="M11" s="73"/>
      <c r="N11" s="74">
        <v>5</v>
      </c>
      <c r="O11" s="75"/>
      <c r="P11" s="76"/>
      <c r="Q11" s="77"/>
      <c r="R11" s="78"/>
      <c r="S11" s="73"/>
      <c r="T11" s="74">
        <v>8</v>
      </c>
      <c r="U11" s="75"/>
      <c r="X11" s="73">
        <v>6</v>
      </c>
      <c r="Y11" s="74"/>
      <c r="Z11" s="75"/>
      <c r="AA11" s="76"/>
      <c r="AB11" s="77"/>
      <c r="AC11" s="78">
        <v>2</v>
      </c>
      <c r="AD11" s="73">
        <v>3</v>
      </c>
      <c r="AE11" s="74"/>
      <c r="AF11" s="75"/>
      <c r="AI11" s="73"/>
      <c r="AJ11" s="74">
        <v>8</v>
      </c>
      <c r="AK11" s="75"/>
      <c r="AL11" s="76">
        <v>6</v>
      </c>
      <c r="AM11" s="77">
        <v>2</v>
      </c>
      <c r="AN11" s="78"/>
      <c r="AO11" s="73"/>
      <c r="AP11" s="74"/>
      <c r="AQ11" s="75"/>
      <c r="AT11" s="233">
        <v>4</v>
      </c>
      <c r="AU11" s="234">
        <v>2</v>
      </c>
      <c r="AV11" s="235">
        <v>6</v>
      </c>
      <c r="AW11" s="236"/>
      <c r="AX11" s="237"/>
      <c r="AY11" s="238"/>
      <c r="AZ11" s="233"/>
      <c r="BA11" s="234">
        <v>9</v>
      </c>
      <c r="BB11" s="235">
        <v>7</v>
      </c>
      <c r="BE11" s="73">
        <v>4</v>
      </c>
      <c r="BF11" s="74">
        <v>2</v>
      </c>
      <c r="BG11" s="75">
        <v>6</v>
      </c>
      <c r="BH11" s="76"/>
      <c r="BI11" s="77"/>
      <c r="BJ11" s="78"/>
      <c r="BK11" s="73"/>
      <c r="BL11" s="74">
        <v>9</v>
      </c>
      <c r="BM11" s="75">
        <v>7</v>
      </c>
      <c r="BR11" s="276"/>
      <c r="BS11" s="277"/>
      <c r="BT11" s="278"/>
      <c r="BU11" s="276">
        <v>8</v>
      </c>
      <c r="BV11" s="277">
        <v>3</v>
      </c>
      <c r="BW11" s="278"/>
      <c r="BX11" s="276"/>
      <c r="BY11" s="277">
        <v>4</v>
      </c>
      <c r="BZ11" s="278">
        <v>1</v>
      </c>
    </row>
    <row r="12" spans="2:78" ht="46.8" thickBot="1" x14ac:dyDescent="0.35">
      <c r="B12" s="79"/>
      <c r="C12" s="80">
        <v>2</v>
      </c>
      <c r="D12" s="81"/>
      <c r="E12" s="82">
        <v>7</v>
      </c>
      <c r="F12" s="83">
        <v>4</v>
      </c>
      <c r="G12" s="84"/>
      <c r="H12" s="79">
        <v>1</v>
      </c>
      <c r="I12" s="80">
        <v>9</v>
      </c>
      <c r="J12" s="81"/>
      <c r="M12" s="79"/>
      <c r="N12" s="80">
        <v>3</v>
      </c>
      <c r="O12" s="81">
        <v>1</v>
      </c>
      <c r="P12" s="82">
        <v>5</v>
      </c>
      <c r="Q12" s="83">
        <v>2</v>
      </c>
      <c r="R12" s="84">
        <v>4</v>
      </c>
      <c r="S12" s="79">
        <v>6</v>
      </c>
      <c r="T12" s="80">
        <v>8</v>
      </c>
      <c r="U12" s="81"/>
      <c r="X12" s="79"/>
      <c r="Y12" s="80"/>
      <c r="Z12" s="81"/>
      <c r="AA12" s="82">
        <v>5</v>
      </c>
      <c r="AB12" s="83"/>
      <c r="AC12" s="84">
        <v>9</v>
      </c>
      <c r="AD12" s="79"/>
      <c r="AE12" s="80">
        <v>8</v>
      </c>
      <c r="AF12" s="81">
        <v>6</v>
      </c>
      <c r="AI12" s="79"/>
      <c r="AJ12" s="80">
        <v>9</v>
      </c>
      <c r="AK12" s="81"/>
      <c r="AL12" s="82">
        <v>7</v>
      </c>
      <c r="AM12" s="83">
        <v>4</v>
      </c>
      <c r="AN12" s="84"/>
      <c r="AO12" s="79">
        <v>3</v>
      </c>
      <c r="AP12" s="80"/>
      <c r="AQ12" s="81"/>
      <c r="AT12" s="239"/>
      <c r="AU12" s="240"/>
      <c r="AV12" s="241">
        <v>7</v>
      </c>
      <c r="AW12" s="242">
        <v>6</v>
      </c>
      <c r="AX12" s="243"/>
      <c r="AY12" s="244"/>
      <c r="AZ12" s="239">
        <v>3</v>
      </c>
      <c r="BA12" s="240">
        <v>5</v>
      </c>
      <c r="BB12" s="241">
        <v>4</v>
      </c>
      <c r="BE12" s="79"/>
      <c r="BF12" s="80"/>
      <c r="BG12" s="81">
        <v>7</v>
      </c>
      <c r="BH12" s="82">
        <v>6</v>
      </c>
      <c r="BI12" s="83"/>
      <c r="BJ12" s="84"/>
      <c r="BK12" s="79">
        <v>3</v>
      </c>
      <c r="BL12" s="80">
        <v>5</v>
      </c>
      <c r="BM12" s="81">
        <v>4</v>
      </c>
      <c r="BR12" s="279"/>
      <c r="BS12" s="280"/>
      <c r="BT12" s="281"/>
      <c r="BU12" s="279"/>
      <c r="BV12" s="280">
        <v>1</v>
      </c>
      <c r="BW12" s="281">
        <v>2</v>
      </c>
      <c r="BX12" s="279">
        <v>9</v>
      </c>
      <c r="BY12" s="280">
        <v>7</v>
      </c>
      <c r="BZ12" s="281"/>
    </row>
    <row r="14" spans="2:78" ht="18.600000000000001" thickBot="1" x14ac:dyDescent="0.4">
      <c r="B14" s="184" t="s">
        <v>137</v>
      </c>
      <c r="M14" t="s">
        <v>222</v>
      </c>
      <c r="X14" s="184" t="s">
        <v>141</v>
      </c>
      <c r="AI14" t="s">
        <v>223</v>
      </c>
      <c r="AT14" s="184" t="s">
        <v>52</v>
      </c>
      <c r="BE14" s="184" t="s">
        <v>136</v>
      </c>
    </row>
    <row r="15" spans="2:78" ht="46.2" x14ac:dyDescent="0.65">
      <c r="B15" s="339" t="s">
        <v>24</v>
      </c>
      <c r="C15" s="340"/>
      <c r="D15" s="340"/>
      <c r="E15" s="340"/>
      <c r="F15" s="340"/>
      <c r="G15" s="340"/>
      <c r="H15" s="340"/>
      <c r="I15" s="340"/>
      <c r="J15" s="358"/>
      <c r="M15" s="339" t="s">
        <v>24</v>
      </c>
      <c r="N15" s="340"/>
      <c r="O15" s="340"/>
      <c r="P15" s="340"/>
      <c r="Q15" s="340"/>
      <c r="R15" s="340"/>
      <c r="S15" s="340"/>
      <c r="T15" s="340"/>
      <c r="U15" s="339"/>
      <c r="X15" s="251" t="s">
        <v>24</v>
      </c>
      <c r="Y15" s="252"/>
      <c r="Z15" s="252"/>
      <c r="AA15" s="252"/>
      <c r="AB15" s="252"/>
      <c r="AC15" s="252"/>
      <c r="AD15" s="252"/>
      <c r="AE15" s="252"/>
      <c r="AF15" s="253"/>
      <c r="AI15" s="339" t="s">
        <v>24</v>
      </c>
      <c r="AJ15" s="340"/>
      <c r="AK15" s="340"/>
      <c r="AL15" s="340"/>
      <c r="AM15" s="340"/>
      <c r="AN15" s="340"/>
      <c r="AO15" s="340"/>
      <c r="AP15" s="340"/>
      <c r="AQ15" s="339"/>
      <c r="AT15" s="339" t="s">
        <v>24</v>
      </c>
      <c r="AU15" s="340"/>
      <c r="AV15" s="340"/>
      <c r="AW15" s="340"/>
      <c r="AX15" s="340"/>
      <c r="AY15" s="340"/>
      <c r="AZ15" s="340"/>
      <c r="BA15" s="340"/>
      <c r="BB15" s="358"/>
      <c r="BE15" s="339" t="s">
        <v>24</v>
      </c>
      <c r="BF15" s="340"/>
      <c r="BG15" s="340"/>
      <c r="BH15" s="340"/>
      <c r="BI15" s="340"/>
      <c r="BJ15" s="340"/>
      <c r="BK15" s="340"/>
      <c r="BL15" s="340"/>
      <c r="BM15" s="358"/>
      <c r="BR15" s="67"/>
      <c r="BS15" s="68">
        <v>8</v>
      </c>
      <c r="BT15" s="69">
        <v>6</v>
      </c>
      <c r="BU15" s="70">
        <v>2</v>
      </c>
      <c r="BV15" s="71">
        <v>4</v>
      </c>
      <c r="BW15" s="72"/>
      <c r="BX15" s="67"/>
      <c r="BY15" s="68"/>
      <c r="BZ15" s="69"/>
    </row>
    <row r="16" spans="2:78" ht="46.8" thickBot="1" x14ac:dyDescent="0.6">
      <c r="B16" s="44" t="s">
        <v>23</v>
      </c>
      <c r="C16" s="44" t="s">
        <v>20</v>
      </c>
      <c r="D16" s="44" t="s">
        <v>31</v>
      </c>
      <c r="E16" s="44" t="s">
        <v>25</v>
      </c>
      <c r="F16" s="44" t="s">
        <v>26</v>
      </c>
      <c r="G16" s="44" t="s">
        <v>27</v>
      </c>
      <c r="H16" s="44" t="s">
        <v>28</v>
      </c>
      <c r="I16" s="44" t="s">
        <v>29</v>
      </c>
      <c r="J16" s="45" t="s">
        <v>30</v>
      </c>
      <c r="M16" s="44" t="s">
        <v>23</v>
      </c>
      <c r="N16" s="44" t="s">
        <v>20</v>
      </c>
      <c r="O16" s="44" t="s">
        <v>31</v>
      </c>
      <c r="P16" s="44" t="s">
        <v>25</v>
      </c>
      <c r="Q16" s="44" t="s">
        <v>26</v>
      </c>
      <c r="R16" s="44" t="s">
        <v>27</v>
      </c>
      <c r="S16" s="44" t="s">
        <v>28</v>
      </c>
      <c r="T16" s="44" t="s">
        <v>29</v>
      </c>
      <c r="U16" s="44" t="s">
        <v>30</v>
      </c>
      <c r="X16" s="44" t="s">
        <v>23</v>
      </c>
      <c r="Y16" s="44" t="s">
        <v>20</v>
      </c>
      <c r="Z16" s="44" t="s">
        <v>31</v>
      </c>
      <c r="AA16" s="44" t="s">
        <v>25</v>
      </c>
      <c r="AB16" s="44" t="s">
        <v>26</v>
      </c>
      <c r="AC16" s="44" t="s">
        <v>27</v>
      </c>
      <c r="AD16" s="44" t="s">
        <v>28</v>
      </c>
      <c r="AE16" s="44" t="s">
        <v>29</v>
      </c>
      <c r="AF16" s="45" t="s">
        <v>30</v>
      </c>
      <c r="AI16" s="44" t="s">
        <v>23</v>
      </c>
      <c r="AJ16" s="44" t="s">
        <v>20</v>
      </c>
      <c r="AK16" s="44" t="s">
        <v>31</v>
      </c>
      <c r="AL16" s="44" t="s">
        <v>25</v>
      </c>
      <c r="AM16" s="44" t="s">
        <v>26</v>
      </c>
      <c r="AN16" s="44" t="s">
        <v>27</v>
      </c>
      <c r="AO16" s="44" t="s">
        <v>28</v>
      </c>
      <c r="AP16" s="44" t="s">
        <v>29</v>
      </c>
      <c r="AQ16" s="44" t="s">
        <v>30</v>
      </c>
      <c r="AT16" s="44" t="s">
        <v>23</v>
      </c>
      <c r="AU16" s="44" t="s">
        <v>20</v>
      </c>
      <c r="AV16" s="44" t="s">
        <v>31</v>
      </c>
      <c r="AW16" s="44" t="s">
        <v>25</v>
      </c>
      <c r="AX16" s="44" t="s">
        <v>26</v>
      </c>
      <c r="AY16" s="44" t="s">
        <v>27</v>
      </c>
      <c r="AZ16" s="44" t="s">
        <v>28</v>
      </c>
      <c r="BA16" s="44" t="s">
        <v>29</v>
      </c>
      <c r="BB16" s="45" t="s">
        <v>30</v>
      </c>
      <c r="BE16" s="44" t="s">
        <v>23</v>
      </c>
      <c r="BF16" s="44" t="s">
        <v>20</v>
      </c>
      <c r="BG16" s="44" t="s">
        <v>31</v>
      </c>
      <c r="BH16" s="44" t="s">
        <v>25</v>
      </c>
      <c r="BI16" s="44" t="s">
        <v>26</v>
      </c>
      <c r="BJ16" s="44" t="s">
        <v>27</v>
      </c>
      <c r="BK16" s="44" t="s">
        <v>28</v>
      </c>
      <c r="BL16" s="44" t="s">
        <v>29</v>
      </c>
      <c r="BM16" s="45" t="s">
        <v>30</v>
      </c>
      <c r="BR16" s="73">
        <v>9</v>
      </c>
      <c r="BS16" s="74">
        <v>3</v>
      </c>
      <c r="BT16" s="75"/>
      <c r="BU16" s="76"/>
      <c r="BV16" s="77">
        <v>8</v>
      </c>
      <c r="BW16" s="78">
        <v>1</v>
      </c>
      <c r="BX16" s="73"/>
      <c r="BY16" s="74"/>
      <c r="BZ16" s="75"/>
    </row>
    <row r="17" spans="2:78" ht="46.8" thickBot="1" x14ac:dyDescent="0.35">
      <c r="B17" s="67">
        <v>1</v>
      </c>
      <c r="C17" s="68"/>
      <c r="D17" s="69">
        <v>3</v>
      </c>
      <c r="E17" s="70">
        <v>9</v>
      </c>
      <c r="F17" s="71">
        <v>8</v>
      </c>
      <c r="G17" s="72">
        <v>6</v>
      </c>
      <c r="H17" s="67"/>
      <c r="I17" s="68"/>
      <c r="J17" s="69"/>
      <c r="M17" s="67"/>
      <c r="N17" s="68">
        <v>2</v>
      </c>
      <c r="O17" s="69"/>
      <c r="P17" s="70"/>
      <c r="Q17" s="71">
        <v>6</v>
      </c>
      <c r="R17" s="72">
        <v>5</v>
      </c>
      <c r="S17" s="67">
        <v>3</v>
      </c>
      <c r="T17" s="68"/>
      <c r="U17" s="69">
        <v>1</v>
      </c>
      <c r="X17" s="67">
        <v>1</v>
      </c>
      <c r="Y17" s="68"/>
      <c r="Z17" s="69"/>
      <c r="AA17" s="70"/>
      <c r="AB17" s="71">
        <v>7</v>
      </c>
      <c r="AC17" s="72"/>
      <c r="AD17" s="67">
        <v>5</v>
      </c>
      <c r="AE17" s="68">
        <v>8</v>
      </c>
      <c r="AF17" s="69">
        <v>3</v>
      </c>
      <c r="AI17" s="67"/>
      <c r="AJ17" s="68">
        <v>7</v>
      </c>
      <c r="AK17" s="69"/>
      <c r="AL17" s="70">
        <v>6</v>
      </c>
      <c r="AM17" s="71">
        <v>2</v>
      </c>
      <c r="AN17" s="72"/>
      <c r="AO17" s="67"/>
      <c r="AP17" s="68"/>
      <c r="AQ17" s="69">
        <v>9</v>
      </c>
      <c r="AT17" s="67">
        <v>8</v>
      </c>
      <c r="AU17" s="68"/>
      <c r="AV17" s="69">
        <v>2</v>
      </c>
      <c r="AW17" s="70"/>
      <c r="AX17" s="71">
        <v>1</v>
      </c>
      <c r="AY17" s="72">
        <v>7</v>
      </c>
      <c r="AZ17" s="67"/>
      <c r="BA17" s="68">
        <v>3</v>
      </c>
      <c r="BB17" s="69"/>
      <c r="BE17" s="67"/>
      <c r="BF17" s="68"/>
      <c r="BG17" s="69"/>
      <c r="BH17" s="70"/>
      <c r="BI17" s="71"/>
      <c r="BJ17" s="72">
        <v>8</v>
      </c>
      <c r="BK17" s="67"/>
      <c r="BL17" s="68">
        <v>3</v>
      </c>
      <c r="BM17" s="69"/>
      <c r="BR17" s="79"/>
      <c r="BS17" s="80">
        <v>2</v>
      </c>
      <c r="BT17" s="81"/>
      <c r="BU17" s="82"/>
      <c r="BV17" s="83">
        <v>5</v>
      </c>
      <c r="BW17" s="84"/>
      <c r="BX17" s="79">
        <v>8</v>
      </c>
      <c r="BY17" s="80">
        <v>3</v>
      </c>
      <c r="BZ17" s="81"/>
    </row>
    <row r="18" spans="2:78" ht="46.2" x14ac:dyDescent="0.3">
      <c r="B18" s="73">
        <v>9</v>
      </c>
      <c r="C18" s="74"/>
      <c r="D18" s="75"/>
      <c r="E18" s="76"/>
      <c r="F18" s="77">
        <v>4</v>
      </c>
      <c r="G18" s="78"/>
      <c r="H18" s="73">
        <v>1</v>
      </c>
      <c r="I18" s="74"/>
      <c r="J18" s="75">
        <v>8</v>
      </c>
      <c r="M18" s="73"/>
      <c r="N18" s="74">
        <v>1</v>
      </c>
      <c r="O18" s="75"/>
      <c r="P18" s="76">
        <v>4</v>
      </c>
      <c r="Q18" s="77">
        <v>7</v>
      </c>
      <c r="R18" s="78">
        <v>2</v>
      </c>
      <c r="S18" s="73">
        <v>6</v>
      </c>
      <c r="T18" s="74">
        <v>9</v>
      </c>
      <c r="U18" s="75"/>
      <c r="X18" s="73"/>
      <c r="Y18" s="74">
        <v>2</v>
      </c>
      <c r="Z18" s="75"/>
      <c r="AA18" s="76">
        <v>9</v>
      </c>
      <c r="AB18" s="77"/>
      <c r="AC18" s="78"/>
      <c r="AD18" s="73">
        <v>6</v>
      </c>
      <c r="AE18" s="74"/>
      <c r="AF18" s="75"/>
      <c r="AI18" s="73"/>
      <c r="AJ18" s="74"/>
      <c r="AK18" s="75"/>
      <c r="AL18" s="76"/>
      <c r="AM18" s="77">
        <v>8</v>
      </c>
      <c r="AN18" s="78"/>
      <c r="AO18" s="73">
        <v>5</v>
      </c>
      <c r="AP18" s="74">
        <v>1</v>
      </c>
      <c r="AQ18" s="75"/>
      <c r="AT18" s="73"/>
      <c r="AU18" s="74"/>
      <c r="AV18" s="75"/>
      <c r="AW18" s="76"/>
      <c r="AX18" s="77"/>
      <c r="AY18" s="78">
        <v>8</v>
      </c>
      <c r="AZ18" s="73"/>
      <c r="BA18" s="74">
        <v>5</v>
      </c>
      <c r="BB18" s="75"/>
      <c r="BE18" s="73"/>
      <c r="BF18" s="74"/>
      <c r="BG18" s="75"/>
      <c r="BH18" s="76">
        <v>9</v>
      </c>
      <c r="BI18" s="77">
        <v>6</v>
      </c>
      <c r="BJ18" s="78">
        <v>7</v>
      </c>
      <c r="BK18" s="73">
        <v>4</v>
      </c>
      <c r="BL18" s="74"/>
      <c r="BM18" s="75"/>
      <c r="BR18" s="70">
        <v>2</v>
      </c>
      <c r="BS18" s="71"/>
      <c r="BT18" s="72"/>
      <c r="BU18" s="67">
        <v>4</v>
      </c>
      <c r="BV18" s="68"/>
      <c r="BW18" s="69"/>
      <c r="BX18" s="70"/>
      <c r="BY18" s="71">
        <v>9</v>
      </c>
      <c r="BZ18" s="72">
        <v>7</v>
      </c>
    </row>
    <row r="19" spans="2:78" ht="46.8" thickBot="1" x14ac:dyDescent="0.35">
      <c r="B19" s="79">
        <v>4</v>
      </c>
      <c r="C19" s="80"/>
      <c r="D19" s="81">
        <v>5</v>
      </c>
      <c r="E19" s="82"/>
      <c r="F19" s="83">
        <v>2</v>
      </c>
      <c r="G19" s="84"/>
      <c r="H19" s="79"/>
      <c r="I19" s="80">
        <v>3</v>
      </c>
      <c r="J19" s="81"/>
      <c r="M19" s="79">
        <v>9</v>
      </c>
      <c r="N19" s="80"/>
      <c r="O19" s="81"/>
      <c r="P19" s="82"/>
      <c r="Q19" s="83"/>
      <c r="R19" s="84">
        <v>1</v>
      </c>
      <c r="S19" s="79"/>
      <c r="T19" s="80"/>
      <c r="U19" s="81">
        <v>4</v>
      </c>
      <c r="X19" s="79"/>
      <c r="Y19" s="80">
        <v>8</v>
      </c>
      <c r="Z19" s="81"/>
      <c r="AA19" s="82"/>
      <c r="AB19" s="83">
        <v>3</v>
      </c>
      <c r="AC19" s="84">
        <v>1</v>
      </c>
      <c r="AD19" s="79"/>
      <c r="AE19" s="80">
        <v>2</v>
      </c>
      <c r="AF19" s="81"/>
      <c r="AI19" s="79"/>
      <c r="AJ19" s="80"/>
      <c r="AK19" s="81"/>
      <c r="AL19" s="82"/>
      <c r="AM19" s="83">
        <v>7</v>
      </c>
      <c r="AN19" s="84"/>
      <c r="AO19" s="79"/>
      <c r="AP19" s="80">
        <v>3</v>
      </c>
      <c r="AQ19" s="81"/>
      <c r="AT19" s="79"/>
      <c r="AU19" s="80"/>
      <c r="AV19" s="81"/>
      <c r="AW19" s="82"/>
      <c r="AX19" s="83">
        <v>3</v>
      </c>
      <c r="AY19" s="84"/>
      <c r="AZ19" s="79"/>
      <c r="BA19" s="80"/>
      <c r="BB19" s="81">
        <v>2</v>
      </c>
      <c r="BE19" s="79"/>
      <c r="BF19" s="80"/>
      <c r="BG19" s="81">
        <v>7</v>
      </c>
      <c r="BH19" s="82"/>
      <c r="BI19" s="83">
        <v>3</v>
      </c>
      <c r="BJ19" s="84"/>
      <c r="BK19" s="79"/>
      <c r="BL19" s="80">
        <v>9</v>
      </c>
      <c r="BM19" s="81">
        <v>6</v>
      </c>
      <c r="BR19" s="76">
        <v>8</v>
      </c>
      <c r="BS19" s="77">
        <v>7</v>
      </c>
      <c r="BT19" s="78"/>
      <c r="BU19" s="73">
        <v>3</v>
      </c>
      <c r="BV19" s="74">
        <v>9</v>
      </c>
      <c r="BW19" s="75">
        <v>5</v>
      </c>
      <c r="BX19" s="76"/>
      <c r="BY19" s="77">
        <v>2</v>
      </c>
      <c r="BZ19" s="78">
        <v>4</v>
      </c>
    </row>
    <row r="20" spans="2:78" ht="46.8" thickBot="1" x14ac:dyDescent="0.35">
      <c r="B20" s="70">
        <v>7</v>
      </c>
      <c r="C20" s="71"/>
      <c r="D20" s="72">
        <v>9</v>
      </c>
      <c r="E20" s="67"/>
      <c r="F20" s="68">
        <v>6</v>
      </c>
      <c r="G20" s="69"/>
      <c r="H20" s="70">
        <v>2</v>
      </c>
      <c r="I20" s="71">
        <v>8</v>
      </c>
      <c r="J20" s="72"/>
      <c r="M20" s="70"/>
      <c r="N20" s="71"/>
      <c r="O20" s="72">
        <v>1</v>
      </c>
      <c r="P20" s="67">
        <v>5</v>
      </c>
      <c r="Q20" s="68"/>
      <c r="R20" s="69"/>
      <c r="S20" s="70"/>
      <c r="T20" s="71"/>
      <c r="U20" s="72">
        <v>7</v>
      </c>
      <c r="X20" s="70"/>
      <c r="Y20" s="71"/>
      <c r="Z20" s="72"/>
      <c r="AA20" s="67">
        <v>4</v>
      </c>
      <c r="AB20" s="68">
        <v>1</v>
      </c>
      <c r="AC20" s="69"/>
      <c r="AD20" s="70"/>
      <c r="AE20" s="71"/>
      <c r="AF20" s="72"/>
      <c r="AI20" s="70">
        <v>2</v>
      </c>
      <c r="AJ20" s="71"/>
      <c r="AK20" s="72"/>
      <c r="AL20" s="67"/>
      <c r="AM20" s="68">
        <v>3</v>
      </c>
      <c r="AN20" s="69">
        <v>6</v>
      </c>
      <c r="AO20" s="70"/>
      <c r="AP20" s="71"/>
      <c r="AQ20" s="72"/>
      <c r="AT20" s="70">
        <v>1</v>
      </c>
      <c r="AU20" s="71"/>
      <c r="AV20" s="72"/>
      <c r="AW20" s="67">
        <v>9</v>
      </c>
      <c r="AX20" s="68"/>
      <c r="AY20" s="69"/>
      <c r="AZ20" s="70">
        <v>6</v>
      </c>
      <c r="BA20" s="71"/>
      <c r="BB20" s="72"/>
      <c r="BE20" s="70"/>
      <c r="BF20" s="71">
        <v>6</v>
      </c>
      <c r="BG20" s="72"/>
      <c r="BH20" s="67"/>
      <c r="BI20" s="68"/>
      <c r="BJ20" s="69"/>
      <c r="BK20" s="70"/>
      <c r="BL20" s="71"/>
      <c r="BM20" s="72">
        <v>4</v>
      </c>
      <c r="BR20" s="82">
        <v>4</v>
      </c>
      <c r="BS20" s="83">
        <v>6</v>
      </c>
      <c r="BT20" s="84"/>
      <c r="BU20" s="79"/>
      <c r="BV20" s="80"/>
      <c r="BW20" s="81">
        <v>7</v>
      </c>
      <c r="BX20" s="82"/>
      <c r="BY20" s="83"/>
      <c r="BZ20" s="84">
        <v>5</v>
      </c>
    </row>
    <row r="21" spans="2:78" ht="46.2" x14ac:dyDescent="0.3">
      <c r="B21" s="76">
        <v>5</v>
      </c>
      <c r="C21" s="77"/>
      <c r="D21" s="78"/>
      <c r="E21" s="73"/>
      <c r="F21" s="74">
        <v>9</v>
      </c>
      <c r="G21" s="75"/>
      <c r="H21" s="76"/>
      <c r="I21" s="77"/>
      <c r="J21" s="78">
        <v>3</v>
      </c>
      <c r="M21" s="76"/>
      <c r="N21" s="77"/>
      <c r="O21" s="78"/>
      <c r="P21" s="73"/>
      <c r="Q21" s="74"/>
      <c r="R21" s="75"/>
      <c r="S21" s="76"/>
      <c r="T21" s="77"/>
      <c r="U21" s="78"/>
      <c r="X21" s="76"/>
      <c r="Y21" s="77"/>
      <c r="Z21" s="78">
        <v>8</v>
      </c>
      <c r="AA21" s="73"/>
      <c r="AB21" s="74"/>
      <c r="AC21" s="75"/>
      <c r="AD21" s="76">
        <v>4</v>
      </c>
      <c r="AE21" s="77"/>
      <c r="AF21" s="78"/>
      <c r="AI21" s="76"/>
      <c r="AJ21" s="77"/>
      <c r="AK21" s="78">
        <v>4</v>
      </c>
      <c r="AL21" s="73">
        <v>9</v>
      </c>
      <c r="AM21" s="74">
        <v>5</v>
      </c>
      <c r="AN21" s="75">
        <v>2</v>
      </c>
      <c r="AO21" s="76">
        <v>7</v>
      </c>
      <c r="AP21" s="77"/>
      <c r="AQ21" s="78"/>
      <c r="AT21" s="76"/>
      <c r="AU21" s="77">
        <v>9</v>
      </c>
      <c r="AV21" s="78">
        <v>7</v>
      </c>
      <c r="AW21" s="73"/>
      <c r="AX21" s="74">
        <v>6</v>
      </c>
      <c r="AY21" s="75"/>
      <c r="AZ21" s="76">
        <v>5</v>
      </c>
      <c r="BA21" s="77">
        <v>4</v>
      </c>
      <c r="BB21" s="78"/>
      <c r="BE21" s="76">
        <v>2</v>
      </c>
      <c r="BF21" s="77"/>
      <c r="BG21" s="78"/>
      <c r="BH21" s="73"/>
      <c r="BI21" s="74">
        <v>5</v>
      </c>
      <c r="BJ21" s="75"/>
      <c r="BK21" s="76"/>
      <c r="BL21" s="77"/>
      <c r="BM21" s="78">
        <v>8</v>
      </c>
      <c r="BR21" s="67"/>
      <c r="BS21" s="68">
        <v>1</v>
      </c>
      <c r="BT21" s="69">
        <v>5</v>
      </c>
      <c r="BU21" s="70"/>
      <c r="BV21" s="71">
        <v>7</v>
      </c>
      <c r="BW21" s="72"/>
      <c r="BX21" s="67"/>
      <c r="BY21" s="68">
        <v>6</v>
      </c>
      <c r="BZ21" s="69"/>
    </row>
    <row r="22" spans="2:78" ht="46.8" thickBot="1" x14ac:dyDescent="0.35">
      <c r="B22" s="82"/>
      <c r="C22" s="83">
        <v>2</v>
      </c>
      <c r="D22" s="84">
        <v>6</v>
      </c>
      <c r="E22" s="79"/>
      <c r="F22" s="80">
        <v>7</v>
      </c>
      <c r="G22" s="81"/>
      <c r="H22" s="82">
        <v>9</v>
      </c>
      <c r="I22" s="83"/>
      <c r="J22" s="84">
        <v>5</v>
      </c>
      <c r="M22" s="82">
        <v>6</v>
      </c>
      <c r="N22" s="83"/>
      <c r="O22" s="84"/>
      <c r="P22" s="79"/>
      <c r="Q22" s="80"/>
      <c r="R22" s="81">
        <v>8</v>
      </c>
      <c r="S22" s="82">
        <v>9</v>
      </c>
      <c r="T22" s="83"/>
      <c r="U22" s="84"/>
      <c r="X22" s="82"/>
      <c r="Y22" s="83"/>
      <c r="Z22" s="84"/>
      <c r="AA22" s="79"/>
      <c r="AB22" s="80">
        <v>8</v>
      </c>
      <c r="AC22" s="81">
        <v>6</v>
      </c>
      <c r="AD22" s="82"/>
      <c r="AE22" s="83"/>
      <c r="AF22" s="84"/>
      <c r="AI22" s="82"/>
      <c r="AJ22" s="83"/>
      <c r="AK22" s="84"/>
      <c r="AL22" s="79">
        <v>4</v>
      </c>
      <c r="AM22" s="80">
        <v>1</v>
      </c>
      <c r="AN22" s="81"/>
      <c r="AO22" s="82"/>
      <c r="AP22" s="83"/>
      <c r="AQ22" s="84">
        <v>8</v>
      </c>
      <c r="AT22" s="82"/>
      <c r="AU22" s="83"/>
      <c r="AV22" s="84">
        <v>6</v>
      </c>
      <c r="AW22" s="79"/>
      <c r="AX22" s="80"/>
      <c r="AY22" s="81">
        <v>2</v>
      </c>
      <c r="AZ22" s="82"/>
      <c r="BA22" s="83"/>
      <c r="BB22" s="84">
        <v>8</v>
      </c>
      <c r="BE22" s="82">
        <v>4</v>
      </c>
      <c r="BF22" s="83"/>
      <c r="BG22" s="84"/>
      <c r="BH22" s="79"/>
      <c r="BI22" s="80"/>
      <c r="BJ22" s="81"/>
      <c r="BK22" s="82"/>
      <c r="BL22" s="83">
        <v>1</v>
      </c>
      <c r="BM22" s="84"/>
      <c r="BR22" s="73"/>
      <c r="BS22" s="74"/>
      <c r="BT22" s="75"/>
      <c r="BU22" s="76">
        <v>8</v>
      </c>
      <c r="BV22" s="77">
        <v>3</v>
      </c>
      <c r="BW22" s="78"/>
      <c r="BX22" s="73"/>
      <c r="BY22" s="74">
        <v>4</v>
      </c>
      <c r="BZ22" s="75">
        <v>1</v>
      </c>
    </row>
    <row r="23" spans="2:78" ht="46.8" thickBot="1" x14ac:dyDescent="0.35">
      <c r="B23" s="67"/>
      <c r="C23" s="68">
        <v>9</v>
      </c>
      <c r="D23" s="69"/>
      <c r="E23" s="70"/>
      <c r="F23" s="71">
        <v>3</v>
      </c>
      <c r="G23" s="72"/>
      <c r="H23" s="67">
        <v>8</v>
      </c>
      <c r="I23" s="68"/>
      <c r="J23" s="69">
        <v>7</v>
      </c>
      <c r="M23" s="67">
        <v>5</v>
      </c>
      <c r="N23" s="68"/>
      <c r="O23" s="69"/>
      <c r="P23" s="70">
        <v>3</v>
      </c>
      <c r="Q23" s="71"/>
      <c r="R23" s="72"/>
      <c r="S23" s="67"/>
      <c r="T23" s="68"/>
      <c r="U23" s="69">
        <v>9</v>
      </c>
      <c r="X23" s="67"/>
      <c r="Y23" s="68">
        <v>7</v>
      </c>
      <c r="Z23" s="69"/>
      <c r="AA23" s="70">
        <v>5</v>
      </c>
      <c r="AB23" s="71">
        <v>9</v>
      </c>
      <c r="AC23" s="72"/>
      <c r="AD23" s="67"/>
      <c r="AE23" s="68">
        <v>6</v>
      </c>
      <c r="AF23" s="69"/>
      <c r="AI23" s="67"/>
      <c r="AJ23" s="68">
        <v>1</v>
      </c>
      <c r="AK23" s="69"/>
      <c r="AL23" s="70"/>
      <c r="AM23" s="71">
        <v>4</v>
      </c>
      <c r="AN23" s="72"/>
      <c r="AO23" s="67"/>
      <c r="AP23" s="68"/>
      <c r="AQ23" s="69"/>
      <c r="AT23" s="67">
        <v>6</v>
      </c>
      <c r="AU23" s="68"/>
      <c r="AV23" s="69"/>
      <c r="AW23" s="70"/>
      <c r="AX23" s="71">
        <v>9</v>
      </c>
      <c r="AY23" s="72"/>
      <c r="AZ23" s="67"/>
      <c r="BA23" s="68"/>
      <c r="BB23" s="69"/>
      <c r="BE23" s="67">
        <v>1</v>
      </c>
      <c r="BF23" s="68">
        <v>4</v>
      </c>
      <c r="BG23" s="69"/>
      <c r="BH23" s="70"/>
      <c r="BI23" s="71">
        <v>2</v>
      </c>
      <c r="BJ23" s="72"/>
      <c r="BK23" s="67">
        <v>8</v>
      </c>
      <c r="BL23" s="68"/>
      <c r="BM23" s="69"/>
      <c r="BR23" s="79"/>
      <c r="BS23" s="80"/>
      <c r="BT23" s="81"/>
      <c r="BU23" s="82"/>
      <c r="BV23" s="83">
        <v>1</v>
      </c>
      <c r="BW23" s="84">
        <v>2</v>
      </c>
      <c r="BX23" s="79">
        <v>9</v>
      </c>
      <c r="BY23" s="80">
        <v>7</v>
      </c>
      <c r="BZ23" s="81"/>
    </row>
    <row r="24" spans="2:78" ht="46.2" x14ac:dyDescent="0.3">
      <c r="B24" s="73">
        <v>3</v>
      </c>
      <c r="C24" s="74"/>
      <c r="D24" s="75">
        <v>8</v>
      </c>
      <c r="E24" s="76"/>
      <c r="F24" s="77">
        <v>1</v>
      </c>
      <c r="G24" s="78"/>
      <c r="H24" s="73"/>
      <c r="I24" s="74"/>
      <c r="J24" s="75">
        <v>6</v>
      </c>
      <c r="M24" s="73"/>
      <c r="N24" s="74">
        <v>3</v>
      </c>
      <c r="O24" s="75">
        <v>9</v>
      </c>
      <c r="P24" s="76">
        <v>1</v>
      </c>
      <c r="Q24" s="77">
        <v>5</v>
      </c>
      <c r="R24" s="78">
        <v>6</v>
      </c>
      <c r="S24" s="73"/>
      <c r="T24" s="74">
        <v>2</v>
      </c>
      <c r="U24" s="75"/>
      <c r="X24" s="73"/>
      <c r="Y24" s="74"/>
      <c r="Z24" s="75">
        <v>3</v>
      </c>
      <c r="AA24" s="76"/>
      <c r="AB24" s="77"/>
      <c r="AC24" s="78">
        <v>7</v>
      </c>
      <c r="AD24" s="73"/>
      <c r="AE24" s="74">
        <v>9</v>
      </c>
      <c r="AF24" s="75"/>
      <c r="AI24" s="73"/>
      <c r="AJ24" s="74">
        <v>3</v>
      </c>
      <c r="AK24" s="75">
        <v>8</v>
      </c>
      <c r="AL24" s="76"/>
      <c r="AM24" s="77">
        <v>6</v>
      </c>
      <c r="AN24" s="78"/>
      <c r="AO24" s="73"/>
      <c r="AP24" s="74"/>
      <c r="AQ24" s="75"/>
      <c r="AT24" s="73"/>
      <c r="AU24" s="74">
        <v>7</v>
      </c>
      <c r="AV24" s="75"/>
      <c r="AW24" s="76">
        <v>3</v>
      </c>
      <c r="AX24" s="77"/>
      <c r="AY24" s="78"/>
      <c r="AZ24" s="73"/>
      <c r="BA24" s="74"/>
      <c r="BB24" s="75"/>
      <c r="BE24" s="73"/>
      <c r="BF24" s="74"/>
      <c r="BG24" s="75">
        <v>8</v>
      </c>
      <c r="BH24" s="76">
        <v>7</v>
      </c>
      <c r="BI24" s="77">
        <v>4</v>
      </c>
      <c r="BJ24" s="78">
        <v>9</v>
      </c>
      <c r="BK24" s="73"/>
      <c r="BL24" s="74"/>
      <c r="BM24" s="75"/>
    </row>
    <row r="25" spans="2:78" ht="52.5" customHeight="1" thickBot="1" x14ac:dyDescent="0.35">
      <c r="B25" s="79"/>
      <c r="C25" s="80"/>
      <c r="D25" s="81"/>
      <c r="E25" s="82">
        <v>6</v>
      </c>
      <c r="F25" s="83">
        <v>5</v>
      </c>
      <c r="G25" s="84">
        <v>8</v>
      </c>
      <c r="H25" s="79">
        <v>3</v>
      </c>
      <c r="I25" s="80"/>
      <c r="J25" s="81">
        <v>1</v>
      </c>
      <c r="M25" s="79">
        <v>1</v>
      </c>
      <c r="N25" s="80"/>
      <c r="O25" s="81">
        <v>8</v>
      </c>
      <c r="P25" s="82">
        <v>2</v>
      </c>
      <c r="Q25" s="83">
        <v>9</v>
      </c>
      <c r="R25" s="84"/>
      <c r="S25" s="79"/>
      <c r="T25" s="80">
        <v>3</v>
      </c>
      <c r="U25" s="81"/>
      <c r="X25" s="79">
        <v>9</v>
      </c>
      <c r="Y25" s="80">
        <v>1</v>
      </c>
      <c r="Z25" s="81">
        <v>5</v>
      </c>
      <c r="AA25" s="82"/>
      <c r="AB25" s="83">
        <v>6</v>
      </c>
      <c r="AC25" s="84"/>
      <c r="AD25" s="79"/>
      <c r="AE25" s="80"/>
      <c r="AF25" s="81">
        <v>7</v>
      </c>
      <c r="AI25" s="79">
        <v>6</v>
      </c>
      <c r="AJ25" s="80"/>
      <c r="AK25" s="81"/>
      <c r="AL25" s="82"/>
      <c r="AM25" s="83">
        <v>9</v>
      </c>
      <c r="AN25" s="84">
        <v>8</v>
      </c>
      <c r="AO25" s="79"/>
      <c r="AP25" s="80">
        <v>4</v>
      </c>
      <c r="AQ25" s="81"/>
      <c r="AT25" s="79"/>
      <c r="AU25" s="80">
        <v>3</v>
      </c>
      <c r="AV25" s="81"/>
      <c r="AW25" s="82">
        <v>2</v>
      </c>
      <c r="AX25" s="83">
        <v>5</v>
      </c>
      <c r="AY25" s="84"/>
      <c r="AZ25" s="79">
        <v>1</v>
      </c>
      <c r="BA25" s="80"/>
      <c r="BB25" s="81">
        <v>7</v>
      </c>
      <c r="BE25" s="79"/>
      <c r="BF25" s="80">
        <v>2</v>
      </c>
      <c r="BG25" s="81"/>
      <c r="BH25" s="82">
        <v>6</v>
      </c>
      <c r="BI25" s="83"/>
      <c r="BJ25" s="84"/>
      <c r="BK25" s="79"/>
      <c r="BL25" s="80"/>
      <c r="BM25" s="81"/>
    </row>
    <row r="26" spans="2:78" ht="30.75" customHeight="1" x14ac:dyDescent="0.3"/>
    <row r="27" spans="2:78" ht="36.9" customHeight="1" thickBot="1" x14ac:dyDescent="0.35">
      <c r="BE27" t="s">
        <v>177</v>
      </c>
    </row>
    <row r="28" spans="2:78" ht="33.6" x14ac:dyDescent="0.65">
      <c r="B28" s="339" t="s">
        <v>24</v>
      </c>
      <c r="C28" s="339"/>
      <c r="D28" s="339"/>
      <c r="E28" s="339"/>
      <c r="F28" s="339"/>
      <c r="G28" s="339"/>
      <c r="H28" s="339"/>
      <c r="I28" s="339"/>
      <c r="J28" s="339"/>
      <c r="X28" s="339" t="s">
        <v>24</v>
      </c>
      <c r="Y28" s="340"/>
      <c r="Z28" s="340"/>
      <c r="AA28" s="340"/>
      <c r="AB28" s="340"/>
      <c r="AC28" s="340"/>
      <c r="AD28" s="340"/>
      <c r="AE28" s="340"/>
      <c r="AF28" s="339"/>
      <c r="AI28" s="339" t="s">
        <v>24</v>
      </c>
      <c r="AJ28" s="340"/>
      <c r="AK28" s="340"/>
      <c r="AL28" s="340"/>
      <c r="AM28" s="340"/>
      <c r="AN28" s="340"/>
      <c r="AO28" s="340"/>
      <c r="AP28" s="340"/>
      <c r="AQ28" s="339"/>
      <c r="AT28" s="339" t="s">
        <v>24</v>
      </c>
      <c r="AU28" s="340"/>
      <c r="AV28" s="340"/>
      <c r="AW28" s="340"/>
      <c r="AX28" s="340"/>
      <c r="AY28" s="340"/>
      <c r="AZ28" s="340"/>
      <c r="BA28" s="340"/>
      <c r="BB28" s="339"/>
      <c r="BE28" s="339" t="s">
        <v>24</v>
      </c>
      <c r="BF28" s="340"/>
      <c r="BG28" s="340"/>
      <c r="BH28" s="340"/>
      <c r="BI28" s="340"/>
      <c r="BJ28" s="340"/>
      <c r="BK28" s="340"/>
      <c r="BL28" s="340"/>
      <c r="BM28" s="358"/>
    </row>
    <row r="29" spans="2:78" ht="28.8" thickBot="1" x14ac:dyDescent="0.6">
      <c r="B29" s="44" t="s">
        <v>23</v>
      </c>
      <c r="C29" s="44" t="s">
        <v>20</v>
      </c>
      <c r="D29" s="44" t="s">
        <v>31</v>
      </c>
      <c r="E29" s="44" t="s">
        <v>25</v>
      </c>
      <c r="F29" s="44" t="s">
        <v>26</v>
      </c>
      <c r="G29" s="44" t="s">
        <v>27</v>
      </c>
      <c r="H29" s="44" t="s">
        <v>28</v>
      </c>
      <c r="I29" s="44" t="s">
        <v>29</v>
      </c>
      <c r="J29" s="44" t="s">
        <v>30</v>
      </c>
      <c r="X29" s="44" t="s">
        <v>23</v>
      </c>
      <c r="Y29" s="44" t="s">
        <v>20</v>
      </c>
      <c r="Z29" s="44" t="s">
        <v>31</v>
      </c>
      <c r="AA29" s="44" t="s">
        <v>25</v>
      </c>
      <c r="AB29" s="44" t="s">
        <v>26</v>
      </c>
      <c r="AC29" s="44" t="s">
        <v>27</v>
      </c>
      <c r="AD29" s="44" t="s">
        <v>28</v>
      </c>
      <c r="AE29" s="44" t="s">
        <v>29</v>
      </c>
      <c r="AF29" s="44" t="s">
        <v>30</v>
      </c>
      <c r="AI29" s="44" t="s">
        <v>23</v>
      </c>
      <c r="AJ29" s="44" t="s">
        <v>20</v>
      </c>
      <c r="AK29" s="44" t="s">
        <v>31</v>
      </c>
      <c r="AL29" s="44" t="s">
        <v>25</v>
      </c>
      <c r="AM29" s="44" t="s">
        <v>26</v>
      </c>
      <c r="AN29" s="44" t="s">
        <v>27</v>
      </c>
      <c r="AO29" s="44" t="s">
        <v>28</v>
      </c>
      <c r="AP29" s="44" t="s">
        <v>29</v>
      </c>
      <c r="AQ29" s="44" t="s">
        <v>30</v>
      </c>
      <c r="AT29" s="44" t="s">
        <v>23</v>
      </c>
      <c r="AU29" s="44" t="s">
        <v>20</v>
      </c>
      <c r="AV29" s="44" t="s">
        <v>31</v>
      </c>
      <c r="AW29" s="44" t="s">
        <v>25</v>
      </c>
      <c r="AX29" s="44" t="s">
        <v>26</v>
      </c>
      <c r="AY29" s="44" t="s">
        <v>27</v>
      </c>
      <c r="AZ29" s="44" t="s">
        <v>28</v>
      </c>
      <c r="BA29" s="44" t="s">
        <v>29</v>
      </c>
      <c r="BB29" s="44" t="s">
        <v>30</v>
      </c>
      <c r="BE29" s="44" t="s">
        <v>23</v>
      </c>
      <c r="BF29" s="44" t="s">
        <v>20</v>
      </c>
      <c r="BG29" s="44" t="s">
        <v>31</v>
      </c>
      <c r="BH29" s="44" t="s">
        <v>25</v>
      </c>
      <c r="BI29" s="44" t="s">
        <v>26</v>
      </c>
      <c r="BJ29" s="44" t="s">
        <v>27</v>
      </c>
      <c r="BK29" s="44" t="s">
        <v>28</v>
      </c>
      <c r="BL29" s="44" t="s">
        <v>29</v>
      </c>
      <c r="BM29" s="45" t="s">
        <v>30</v>
      </c>
    </row>
    <row r="30" spans="2:78" ht="46.2" x14ac:dyDescent="0.3">
      <c r="B30" s="67"/>
      <c r="C30" s="68"/>
      <c r="D30" s="69">
        <v>1</v>
      </c>
      <c r="E30" s="70">
        <v>7</v>
      </c>
      <c r="F30" s="71"/>
      <c r="G30" s="72"/>
      <c r="H30" s="67"/>
      <c r="I30" s="68">
        <v>9</v>
      </c>
      <c r="J30" s="69"/>
      <c r="X30" s="67"/>
      <c r="Y30" s="68"/>
      <c r="Z30" s="69"/>
      <c r="AA30" s="70"/>
      <c r="AB30" s="71">
        <v>1</v>
      </c>
      <c r="AC30" s="72">
        <v>9</v>
      </c>
      <c r="AD30" s="67"/>
      <c r="AE30" s="68"/>
      <c r="AF30" s="69">
        <v>8</v>
      </c>
      <c r="AI30" s="67">
        <v>6</v>
      </c>
      <c r="AJ30" s="68"/>
      <c r="AK30" s="69"/>
      <c r="AL30" s="70"/>
      <c r="AM30" s="71">
        <v>5</v>
      </c>
      <c r="AN30" s="72"/>
      <c r="AO30" s="67"/>
      <c r="AP30" s="68"/>
      <c r="AQ30" s="69">
        <v>2</v>
      </c>
      <c r="AT30" s="67">
        <v>9</v>
      </c>
      <c r="AU30" s="68"/>
      <c r="AV30" s="69">
        <v>5</v>
      </c>
      <c r="AW30" s="70"/>
      <c r="AX30" s="71"/>
      <c r="AY30" s="72"/>
      <c r="AZ30" s="67"/>
      <c r="BA30" s="68"/>
      <c r="BB30" s="69"/>
      <c r="BE30" s="67"/>
      <c r="BF30" s="68"/>
      <c r="BG30" s="69">
        <v>9</v>
      </c>
      <c r="BH30" s="70"/>
      <c r="BI30" s="71">
        <v>4</v>
      </c>
      <c r="BJ30" s="72">
        <v>2</v>
      </c>
      <c r="BK30" s="67">
        <v>5</v>
      </c>
      <c r="BL30" s="68"/>
      <c r="BM30" s="69"/>
    </row>
    <row r="31" spans="2:78" ht="46.2" x14ac:dyDescent="0.3">
      <c r="B31" s="73">
        <v>8</v>
      </c>
      <c r="C31" s="74"/>
      <c r="D31" s="75">
        <v>4</v>
      </c>
      <c r="E31" s="76"/>
      <c r="F31" s="77">
        <v>6</v>
      </c>
      <c r="G31" s="78">
        <v>1</v>
      </c>
      <c r="H31" s="73"/>
      <c r="I31" s="74"/>
      <c r="J31" s="75">
        <v>5</v>
      </c>
      <c r="X31" s="73"/>
      <c r="Y31" s="74"/>
      <c r="Z31" s="75">
        <v>1</v>
      </c>
      <c r="AA31" s="76"/>
      <c r="AB31" s="77">
        <v>7</v>
      </c>
      <c r="AC31" s="78"/>
      <c r="AD31" s="73">
        <v>5</v>
      </c>
      <c r="AE31" s="74"/>
      <c r="AF31" s="75"/>
      <c r="AI31" s="73"/>
      <c r="AJ31" s="74"/>
      <c r="AK31" s="75"/>
      <c r="AL31" s="76"/>
      <c r="AM31" s="77">
        <v>2</v>
      </c>
      <c r="AN31" s="78"/>
      <c r="AO31" s="73">
        <v>8</v>
      </c>
      <c r="AP31" s="74">
        <v>9</v>
      </c>
      <c r="AQ31" s="75"/>
      <c r="AT31" s="73">
        <v>1</v>
      </c>
      <c r="AU31" s="74"/>
      <c r="AV31" s="75"/>
      <c r="AW31" s="76"/>
      <c r="AX31" s="77">
        <v>9</v>
      </c>
      <c r="AY31" s="78"/>
      <c r="AZ31" s="73">
        <v>6</v>
      </c>
      <c r="BA31" s="74"/>
      <c r="BB31" s="75"/>
      <c r="BE31" s="73"/>
      <c r="BF31" s="74">
        <v>4</v>
      </c>
      <c r="BG31" s="75">
        <v>6</v>
      </c>
      <c r="BH31" s="76"/>
      <c r="BI31" s="77">
        <v>1</v>
      </c>
      <c r="BJ31" s="78"/>
      <c r="BK31" s="73"/>
      <c r="BL31" s="74"/>
      <c r="BM31" s="75"/>
    </row>
    <row r="32" spans="2:78" ht="46.8" thickBot="1" x14ac:dyDescent="0.35">
      <c r="B32" s="79"/>
      <c r="C32" s="80"/>
      <c r="D32" s="81">
        <v>7</v>
      </c>
      <c r="E32" s="82">
        <v>9</v>
      </c>
      <c r="F32" s="83">
        <v>4</v>
      </c>
      <c r="G32" s="84">
        <v>8</v>
      </c>
      <c r="H32" s="79">
        <v>1</v>
      </c>
      <c r="I32" s="80">
        <v>6</v>
      </c>
      <c r="J32" s="81"/>
      <c r="X32" s="79"/>
      <c r="Y32" s="80">
        <v>3</v>
      </c>
      <c r="Z32" s="81"/>
      <c r="AA32" s="82">
        <v>5</v>
      </c>
      <c r="AB32" s="83">
        <v>8</v>
      </c>
      <c r="AC32" s="84"/>
      <c r="AD32" s="79">
        <v>9</v>
      </c>
      <c r="AE32" s="80"/>
      <c r="AF32" s="81"/>
      <c r="AI32" s="79"/>
      <c r="AJ32" s="80"/>
      <c r="AK32" s="81">
        <v>2</v>
      </c>
      <c r="AL32" s="82">
        <v>7</v>
      </c>
      <c r="AM32" s="83">
        <v>4</v>
      </c>
      <c r="AN32" s="84"/>
      <c r="AO32" s="79"/>
      <c r="AP32" s="80"/>
      <c r="AQ32" s="81"/>
      <c r="AT32" s="79"/>
      <c r="AU32" s="80">
        <v>6</v>
      </c>
      <c r="AV32" s="81">
        <v>3</v>
      </c>
      <c r="AW32" s="82">
        <v>2</v>
      </c>
      <c r="AX32" s="83">
        <v>4</v>
      </c>
      <c r="AY32" s="84"/>
      <c r="AZ32" s="79"/>
      <c r="BA32" s="80"/>
      <c r="BB32" s="81">
        <v>9</v>
      </c>
      <c r="BE32" s="79"/>
      <c r="BF32" s="80"/>
      <c r="BG32" s="81"/>
      <c r="BH32" s="82">
        <v>7</v>
      </c>
      <c r="BI32" s="83"/>
      <c r="BJ32" s="84"/>
      <c r="BK32" s="79"/>
      <c r="BL32" s="80"/>
      <c r="BM32" s="81">
        <v>2</v>
      </c>
    </row>
    <row r="33" spans="2:65" ht="46.2" x14ac:dyDescent="0.3">
      <c r="B33" s="70">
        <v>2</v>
      </c>
      <c r="C33" s="71">
        <v>1</v>
      </c>
      <c r="D33" s="72"/>
      <c r="E33" s="67"/>
      <c r="F33" s="68">
        <v>9</v>
      </c>
      <c r="G33" s="69">
        <v>4</v>
      </c>
      <c r="H33" s="70">
        <v>7</v>
      </c>
      <c r="I33" s="71"/>
      <c r="J33" s="72"/>
      <c r="X33" s="70">
        <v>6</v>
      </c>
      <c r="Y33" s="71"/>
      <c r="Z33" s="72"/>
      <c r="AA33" s="67">
        <v>2</v>
      </c>
      <c r="AB33" s="68"/>
      <c r="AC33" s="69"/>
      <c r="AD33" s="70">
        <v>7</v>
      </c>
      <c r="AE33" s="71"/>
      <c r="AF33" s="72"/>
      <c r="AI33" s="70">
        <v>1</v>
      </c>
      <c r="AJ33" s="71"/>
      <c r="AK33" s="72"/>
      <c r="AL33" s="67">
        <v>5</v>
      </c>
      <c r="AM33" s="68">
        <v>6</v>
      </c>
      <c r="AN33" s="69"/>
      <c r="AO33" s="70"/>
      <c r="AP33" s="71">
        <v>4</v>
      </c>
      <c r="AQ33" s="72"/>
      <c r="AT33" s="70"/>
      <c r="AU33" s="71"/>
      <c r="AV33" s="72"/>
      <c r="AW33" s="67"/>
      <c r="AX33" s="68"/>
      <c r="AY33" s="69">
        <v>4</v>
      </c>
      <c r="AZ33" s="70"/>
      <c r="BA33" s="71">
        <v>2</v>
      </c>
      <c r="BB33" s="72">
        <v>3</v>
      </c>
      <c r="BE33" s="70"/>
      <c r="BF33" s="71">
        <v>5</v>
      </c>
      <c r="BG33" s="72"/>
      <c r="BH33" s="67"/>
      <c r="BI33" s="68"/>
      <c r="BJ33" s="69">
        <v>7</v>
      </c>
      <c r="BK33" s="70"/>
      <c r="BL33" s="71"/>
      <c r="BM33" s="72">
        <v>8</v>
      </c>
    </row>
    <row r="34" spans="2:65" ht="46.2" x14ac:dyDescent="0.3">
      <c r="B34" s="76"/>
      <c r="C34" s="77"/>
      <c r="D34" s="78"/>
      <c r="E34" s="73"/>
      <c r="F34" s="74">
        <v>3</v>
      </c>
      <c r="G34" s="75"/>
      <c r="H34" s="76"/>
      <c r="I34" s="77"/>
      <c r="J34" s="78"/>
      <c r="X34" s="76"/>
      <c r="Y34" s="77">
        <v>4</v>
      </c>
      <c r="Z34" s="78"/>
      <c r="AA34" s="73"/>
      <c r="AB34" s="74">
        <v>9</v>
      </c>
      <c r="AC34" s="75"/>
      <c r="AD34" s="76"/>
      <c r="AE34" s="77">
        <v>8</v>
      </c>
      <c r="AF34" s="78"/>
      <c r="AI34" s="76"/>
      <c r="AJ34" s="77">
        <v>6</v>
      </c>
      <c r="AK34" s="78"/>
      <c r="AL34" s="73">
        <v>1</v>
      </c>
      <c r="AM34" s="74">
        <v>7</v>
      </c>
      <c r="AN34" s="75">
        <v>8</v>
      </c>
      <c r="AO34" s="76"/>
      <c r="AP34" s="77">
        <v>3</v>
      </c>
      <c r="AQ34" s="78"/>
      <c r="AT34" s="76"/>
      <c r="AU34" s="77"/>
      <c r="AV34" s="78">
        <v>6</v>
      </c>
      <c r="AW34" s="73"/>
      <c r="AX34" s="74">
        <v>3</v>
      </c>
      <c r="AY34" s="75"/>
      <c r="AZ34" s="76">
        <v>1</v>
      </c>
      <c r="BA34" s="77"/>
      <c r="BB34" s="78"/>
      <c r="BE34" s="76"/>
      <c r="BF34" s="77"/>
      <c r="BG34" s="78"/>
      <c r="BH34" s="73">
        <v>5</v>
      </c>
      <c r="BI34" s="74">
        <v>3</v>
      </c>
      <c r="BJ34" s="75">
        <v>4</v>
      </c>
      <c r="BK34" s="76"/>
      <c r="BL34" s="77"/>
      <c r="BM34" s="78"/>
    </row>
    <row r="35" spans="2:65" ht="46.8" thickBot="1" x14ac:dyDescent="0.35">
      <c r="B35" s="82"/>
      <c r="C35" s="83"/>
      <c r="D35" s="84">
        <v>6</v>
      </c>
      <c r="E35" s="79">
        <v>2</v>
      </c>
      <c r="F35" s="80">
        <v>1</v>
      </c>
      <c r="G35" s="81"/>
      <c r="H35" s="82"/>
      <c r="I35" s="83">
        <v>4</v>
      </c>
      <c r="J35" s="84">
        <v>8</v>
      </c>
      <c r="X35" s="82"/>
      <c r="Y35" s="83"/>
      <c r="Z35" s="84">
        <v>2</v>
      </c>
      <c r="AA35" s="79"/>
      <c r="AB35" s="80"/>
      <c r="AC35" s="81">
        <v>7</v>
      </c>
      <c r="AD35" s="82"/>
      <c r="AE35" s="83"/>
      <c r="AF35" s="84">
        <v>6</v>
      </c>
      <c r="AI35" s="82"/>
      <c r="AJ35" s="83">
        <v>5</v>
      </c>
      <c r="AK35" s="84"/>
      <c r="AL35" s="79"/>
      <c r="AM35" s="80">
        <v>9</v>
      </c>
      <c r="AN35" s="81">
        <v>2</v>
      </c>
      <c r="AO35" s="82"/>
      <c r="AP35" s="83"/>
      <c r="AQ35" s="84">
        <v>7</v>
      </c>
      <c r="AT35" s="82">
        <v>3</v>
      </c>
      <c r="AU35" s="83">
        <v>5</v>
      </c>
      <c r="AV35" s="84"/>
      <c r="AW35" s="79">
        <v>7</v>
      </c>
      <c r="AX35" s="80"/>
      <c r="AY35" s="81"/>
      <c r="AZ35" s="82"/>
      <c r="BA35" s="83"/>
      <c r="BB35" s="84"/>
      <c r="BE35" s="82">
        <v>7</v>
      </c>
      <c r="BF35" s="83"/>
      <c r="BG35" s="84"/>
      <c r="BH35" s="79">
        <v>8</v>
      </c>
      <c r="BI35" s="80"/>
      <c r="BJ35" s="81"/>
      <c r="BK35" s="82"/>
      <c r="BL35" s="83">
        <v>4</v>
      </c>
      <c r="BM35" s="84"/>
    </row>
    <row r="36" spans="2:65" ht="46.2" x14ac:dyDescent="0.3">
      <c r="B36" s="67"/>
      <c r="C36" s="68">
        <v>8</v>
      </c>
      <c r="D36" s="69">
        <v>3</v>
      </c>
      <c r="E36" s="70">
        <v>4</v>
      </c>
      <c r="F36" s="71">
        <v>2</v>
      </c>
      <c r="G36" s="72">
        <v>9</v>
      </c>
      <c r="H36" s="67">
        <v>6</v>
      </c>
      <c r="I36" s="68"/>
      <c r="J36" s="69"/>
      <c r="X36" s="67"/>
      <c r="Y36" s="68"/>
      <c r="Z36" s="69">
        <v>4</v>
      </c>
      <c r="AA36" s="70"/>
      <c r="AB36" s="71">
        <v>3</v>
      </c>
      <c r="AC36" s="72">
        <v>8</v>
      </c>
      <c r="AD36" s="67"/>
      <c r="AE36" s="68">
        <v>9</v>
      </c>
      <c r="AF36" s="69"/>
      <c r="AI36" s="67"/>
      <c r="AJ36" s="68"/>
      <c r="AK36" s="69"/>
      <c r="AL36" s="70"/>
      <c r="AM36" s="71">
        <v>3</v>
      </c>
      <c r="AN36" s="72">
        <v>5</v>
      </c>
      <c r="AO36" s="67">
        <v>1</v>
      </c>
      <c r="AP36" s="68"/>
      <c r="AQ36" s="69"/>
      <c r="AT36" s="67">
        <v>5</v>
      </c>
      <c r="AU36" s="68"/>
      <c r="AV36" s="69"/>
      <c r="AW36" s="70"/>
      <c r="AX36" s="71">
        <v>2</v>
      </c>
      <c r="AY36" s="72">
        <v>3</v>
      </c>
      <c r="AZ36" s="67">
        <v>9</v>
      </c>
      <c r="BA36" s="68">
        <v>1</v>
      </c>
      <c r="BB36" s="69"/>
      <c r="BE36" s="67">
        <v>1</v>
      </c>
      <c r="BF36" s="68"/>
      <c r="BG36" s="69"/>
      <c r="BH36" s="70"/>
      <c r="BI36" s="71"/>
      <c r="BJ36" s="72">
        <v>6</v>
      </c>
      <c r="BK36" s="67"/>
      <c r="BL36" s="68"/>
      <c r="BM36" s="69"/>
    </row>
    <row r="37" spans="2:65" ht="46.2" x14ac:dyDescent="0.3">
      <c r="B37" s="73">
        <v>7</v>
      </c>
      <c r="C37" s="74"/>
      <c r="D37" s="75"/>
      <c r="E37" s="76">
        <v>1</v>
      </c>
      <c r="F37" s="77">
        <v>8</v>
      </c>
      <c r="G37" s="78"/>
      <c r="H37" s="73">
        <v>4</v>
      </c>
      <c r="I37" s="74"/>
      <c r="J37" s="75">
        <v>9</v>
      </c>
      <c r="X37" s="73"/>
      <c r="Y37" s="74"/>
      <c r="Z37" s="75">
        <v>7</v>
      </c>
      <c r="AA37" s="76"/>
      <c r="AB37" s="77">
        <v>6</v>
      </c>
      <c r="AC37" s="78"/>
      <c r="AD37" s="73">
        <v>4</v>
      </c>
      <c r="AE37" s="74"/>
      <c r="AF37" s="75"/>
      <c r="AI37" s="73"/>
      <c r="AJ37" s="74">
        <v>9</v>
      </c>
      <c r="AK37" s="75">
        <v>8</v>
      </c>
      <c r="AL37" s="76"/>
      <c r="AM37" s="77">
        <v>1</v>
      </c>
      <c r="AN37" s="78"/>
      <c r="AO37" s="73"/>
      <c r="AP37" s="74"/>
      <c r="AQ37" s="75"/>
      <c r="AT37" s="73"/>
      <c r="AU37" s="74"/>
      <c r="AV37" s="75">
        <v>2</v>
      </c>
      <c r="AW37" s="76"/>
      <c r="AX37" s="77">
        <v>8</v>
      </c>
      <c r="AY37" s="78"/>
      <c r="AZ37" s="73"/>
      <c r="BA37" s="74"/>
      <c r="BB37" s="75">
        <v>5</v>
      </c>
      <c r="BE37" s="73"/>
      <c r="BF37" s="74"/>
      <c r="BG37" s="75"/>
      <c r="BH37" s="76"/>
      <c r="BI37" s="77">
        <v>5</v>
      </c>
      <c r="BJ37" s="78"/>
      <c r="BK37" s="73">
        <v>2</v>
      </c>
      <c r="BL37" s="74">
        <v>9</v>
      </c>
      <c r="BM37" s="75"/>
    </row>
    <row r="38" spans="2:65" ht="46.8" thickBot="1" x14ac:dyDescent="0.35">
      <c r="B38" s="79"/>
      <c r="C38" s="80">
        <v>4</v>
      </c>
      <c r="D38" s="81"/>
      <c r="E38" s="82"/>
      <c r="F38" s="83"/>
      <c r="G38" s="84">
        <v>5</v>
      </c>
      <c r="H38" s="79">
        <v>3</v>
      </c>
      <c r="I38" s="80"/>
      <c r="J38" s="81"/>
      <c r="X38" s="79">
        <v>1</v>
      </c>
      <c r="Y38" s="80"/>
      <c r="Z38" s="81"/>
      <c r="AA38" s="82">
        <v>4</v>
      </c>
      <c r="AB38" s="83">
        <v>2</v>
      </c>
      <c r="AC38" s="84"/>
      <c r="AD38" s="79"/>
      <c r="AE38" s="80"/>
      <c r="AF38" s="81"/>
      <c r="AI38" s="79">
        <v>4</v>
      </c>
      <c r="AJ38" s="80"/>
      <c r="AK38" s="81"/>
      <c r="AL38" s="82"/>
      <c r="AM38" s="83">
        <v>8</v>
      </c>
      <c r="AN38" s="84"/>
      <c r="AO38" s="79"/>
      <c r="AP38" s="80"/>
      <c r="AQ38" s="81">
        <v>9</v>
      </c>
      <c r="AT38" s="79"/>
      <c r="AU38" s="80"/>
      <c r="AV38" s="81"/>
      <c r="AW38" s="82"/>
      <c r="AX38" s="83"/>
      <c r="AY38" s="84"/>
      <c r="AZ38" s="79">
        <v>2</v>
      </c>
      <c r="BA38" s="80"/>
      <c r="BB38" s="81">
        <v>7</v>
      </c>
      <c r="BE38" s="79"/>
      <c r="BF38" s="80"/>
      <c r="BG38" s="81">
        <v>4</v>
      </c>
      <c r="BH38" s="82">
        <v>9</v>
      </c>
      <c r="BI38" s="83">
        <v>8</v>
      </c>
      <c r="BJ38" s="84"/>
      <c r="BK38" s="79">
        <v>6</v>
      </c>
      <c r="BL38" s="80"/>
      <c r="BM38" s="81"/>
    </row>
    <row r="40" spans="2:65" ht="15" thickBot="1" x14ac:dyDescent="0.35">
      <c r="BE40" t="s">
        <v>178</v>
      </c>
    </row>
    <row r="41" spans="2:65" ht="33.6" x14ac:dyDescent="0.65">
      <c r="B41" s="270" t="s">
        <v>24</v>
      </c>
      <c r="C41" s="271"/>
      <c r="D41" s="271"/>
      <c r="E41" s="271"/>
      <c r="F41" s="271"/>
      <c r="G41" s="271"/>
      <c r="H41" s="271"/>
      <c r="I41" s="271"/>
      <c r="J41" s="270"/>
      <c r="X41" s="339" t="s">
        <v>24</v>
      </c>
      <c r="Y41" s="340"/>
      <c r="Z41" s="340"/>
      <c r="AA41" s="340"/>
      <c r="AB41" s="340"/>
      <c r="AC41" s="340"/>
      <c r="AD41" s="340"/>
      <c r="AE41" s="340"/>
      <c r="AF41" s="339"/>
      <c r="AI41" s="339" t="s">
        <v>24</v>
      </c>
      <c r="AJ41" s="340"/>
      <c r="AK41" s="340"/>
      <c r="AL41" s="340"/>
      <c r="AM41" s="340"/>
      <c r="AN41" s="340"/>
      <c r="AO41" s="340"/>
      <c r="AP41" s="340"/>
      <c r="AQ41" s="339"/>
      <c r="AT41" s="339" t="s">
        <v>24</v>
      </c>
      <c r="AU41" s="340"/>
      <c r="AV41" s="340"/>
      <c r="AW41" s="340"/>
      <c r="AX41" s="340"/>
      <c r="AY41" s="340"/>
      <c r="AZ41" s="340"/>
      <c r="BA41" s="340"/>
      <c r="BB41" s="339"/>
      <c r="BE41" s="339" t="s">
        <v>24</v>
      </c>
      <c r="BF41" s="340"/>
      <c r="BG41" s="340"/>
      <c r="BH41" s="340"/>
      <c r="BI41" s="340"/>
      <c r="BJ41" s="340"/>
      <c r="BK41" s="340"/>
      <c r="BL41" s="340"/>
      <c r="BM41" s="358"/>
    </row>
    <row r="42" spans="2:65" ht="28.8" thickBot="1" x14ac:dyDescent="0.6">
      <c r="B42" s="44" t="s">
        <v>23</v>
      </c>
      <c r="C42" s="44" t="s">
        <v>20</v>
      </c>
      <c r="D42" s="44" t="s">
        <v>31</v>
      </c>
      <c r="E42" s="44" t="s">
        <v>25</v>
      </c>
      <c r="F42" s="44" t="s">
        <v>26</v>
      </c>
      <c r="G42" s="44" t="s">
        <v>27</v>
      </c>
      <c r="H42" s="44" t="s">
        <v>28</v>
      </c>
      <c r="I42" s="44" t="s">
        <v>29</v>
      </c>
      <c r="J42" s="44" t="s">
        <v>30</v>
      </c>
      <c r="X42" s="44" t="s">
        <v>23</v>
      </c>
      <c r="Y42" s="44" t="s">
        <v>20</v>
      </c>
      <c r="Z42" s="44" t="s">
        <v>31</v>
      </c>
      <c r="AA42" s="44" t="s">
        <v>25</v>
      </c>
      <c r="AB42" s="44" t="s">
        <v>26</v>
      </c>
      <c r="AC42" s="44" t="s">
        <v>27</v>
      </c>
      <c r="AD42" s="44" t="s">
        <v>28</v>
      </c>
      <c r="AE42" s="44" t="s">
        <v>29</v>
      </c>
      <c r="AF42" s="44" t="s">
        <v>30</v>
      </c>
      <c r="AI42" s="44" t="s">
        <v>23</v>
      </c>
      <c r="AJ42" s="44" t="s">
        <v>20</v>
      </c>
      <c r="AK42" s="44" t="s">
        <v>31</v>
      </c>
      <c r="AL42" s="44" t="s">
        <v>25</v>
      </c>
      <c r="AM42" s="44" t="s">
        <v>26</v>
      </c>
      <c r="AN42" s="44" t="s">
        <v>27</v>
      </c>
      <c r="AO42" s="44" t="s">
        <v>28</v>
      </c>
      <c r="AP42" s="44" t="s">
        <v>29</v>
      </c>
      <c r="AQ42" s="44" t="s">
        <v>30</v>
      </c>
      <c r="AT42" s="44" t="s">
        <v>23</v>
      </c>
      <c r="AU42" s="44" t="s">
        <v>20</v>
      </c>
      <c r="AV42" s="44" t="s">
        <v>31</v>
      </c>
      <c r="AW42" s="44" t="s">
        <v>25</v>
      </c>
      <c r="AX42" s="44" t="s">
        <v>26</v>
      </c>
      <c r="AY42" s="44" t="s">
        <v>27</v>
      </c>
      <c r="AZ42" s="44" t="s">
        <v>28</v>
      </c>
      <c r="BA42" s="44" t="s">
        <v>29</v>
      </c>
      <c r="BB42" s="44" t="s">
        <v>30</v>
      </c>
      <c r="BE42" s="44" t="s">
        <v>23</v>
      </c>
      <c r="BF42" s="44" t="s">
        <v>20</v>
      </c>
      <c r="BG42" s="44" t="s">
        <v>31</v>
      </c>
      <c r="BH42" s="44" t="s">
        <v>25</v>
      </c>
      <c r="BI42" s="44" t="s">
        <v>26</v>
      </c>
      <c r="BJ42" s="44" t="s">
        <v>27</v>
      </c>
      <c r="BK42" s="44" t="s">
        <v>28</v>
      </c>
      <c r="BL42" s="44" t="s">
        <v>29</v>
      </c>
      <c r="BM42" s="45" t="s">
        <v>30</v>
      </c>
    </row>
    <row r="43" spans="2:65" ht="46.2" x14ac:dyDescent="0.3">
      <c r="B43" s="67">
        <v>1</v>
      </c>
      <c r="C43" s="68"/>
      <c r="D43" s="69"/>
      <c r="E43" s="70">
        <v>8</v>
      </c>
      <c r="F43" s="71">
        <v>5</v>
      </c>
      <c r="G43" s="72"/>
      <c r="H43" s="67"/>
      <c r="I43" s="68"/>
      <c r="J43" s="69">
        <v>4</v>
      </c>
      <c r="X43" s="67">
        <v>7</v>
      </c>
      <c r="Y43" s="68"/>
      <c r="Z43" s="69">
        <v>2</v>
      </c>
      <c r="AA43" s="70">
        <v>1</v>
      </c>
      <c r="AB43" s="71">
        <v>8</v>
      </c>
      <c r="AC43" s="72">
        <v>6</v>
      </c>
      <c r="AD43" s="67"/>
      <c r="AE43" s="68"/>
      <c r="AF43" s="69"/>
      <c r="AI43" s="67">
        <v>4</v>
      </c>
      <c r="AJ43" s="68"/>
      <c r="AK43" s="69"/>
      <c r="AL43" s="70"/>
      <c r="AM43" s="71">
        <v>6</v>
      </c>
      <c r="AN43" s="72">
        <v>1</v>
      </c>
      <c r="AO43" s="67"/>
      <c r="AP43" s="68">
        <v>5</v>
      </c>
      <c r="AQ43" s="69">
        <v>7</v>
      </c>
      <c r="AT43" s="67"/>
      <c r="AU43" s="68">
        <v>8</v>
      </c>
      <c r="AV43" s="69"/>
      <c r="AW43" s="70">
        <v>1</v>
      </c>
      <c r="AX43" s="71"/>
      <c r="AY43" s="72"/>
      <c r="AZ43" s="67"/>
      <c r="BA43" s="68">
        <v>6</v>
      </c>
      <c r="BB43" s="69"/>
      <c r="BE43" s="67">
        <v>1</v>
      </c>
      <c r="BF43" s="68"/>
      <c r="BG43" s="69">
        <v>9</v>
      </c>
      <c r="BH43" s="70"/>
      <c r="BI43" s="71">
        <v>7</v>
      </c>
      <c r="BJ43" s="72">
        <v>3</v>
      </c>
      <c r="BK43" s="67"/>
      <c r="BL43" s="68">
        <v>2</v>
      </c>
      <c r="BM43" s="69"/>
    </row>
    <row r="44" spans="2:65" ht="46.2" x14ac:dyDescent="0.3">
      <c r="B44" s="73">
        <v>8</v>
      </c>
      <c r="C44" s="74">
        <v>6</v>
      </c>
      <c r="D44" s="75"/>
      <c r="E44" s="76"/>
      <c r="F44" s="77">
        <v>4</v>
      </c>
      <c r="G44" s="78"/>
      <c r="H44" s="73"/>
      <c r="I44" s="74">
        <v>1</v>
      </c>
      <c r="J44" s="75">
        <v>2</v>
      </c>
      <c r="X44" s="73"/>
      <c r="Y44" s="74">
        <v>5</v>
      </c>
      <c r="Z44" s="75"/>
      <c r="AA44" s="76"/>
      <c r="AB44" s="77">
        <v>2</v>
      </c>
      <c r="AC44" s="78"/>
      <c r="AD44" s="73"/>
      <c r="AE44" s="74"/>
      <c r="AF44" s="75"/>
      <c r="AI44" s="73">
        <v>8</v>
      </c>
      <c r="AJ44" s="74"/>
      <c r="AK44" s="75"/>
      <c r="AL44" s="76"/>
      <c r="AM44" s="77"/>
      <c r="AN44" s="78">
        <v>9</v>
      </c>
      <c r="AO44" s="73">
        <v>1</v>
      </c>
      <c r="AP44" s="74"/>
      <c r="AQ44" s="75"/>
      <c r="AT44" s="73"/>
      <c r="AU44" s="74">
        <v>1</v>
      </c>
      <c r="AV44" s="75">
        <v>6</v>
      </c>
      <c r="AW44" s="76"/>
      <c r="AX44" s="77">
        <v>5</v>
      </c>
      <c r="AY44" s="78">
        <v>8</v>
      </c>
      <c r="AZ44" s="73"/>
      <c r="BA44" s="74">
        <v>7</v>
      </c>
      <c r="BB44" s="75"/>
      <c r="BE44" s="73">
        <v>5</v>
      </c>
      <c r="BF44" s="74"/>
      <c r="BG44" s="75"/>
      <c r="BH44" s="76"/>
      <c r="BI44" s="77">
        <v>6</v>
      </c>
      <c r="BJ44" s="78"/>
      <c r="BK44" s="73">
        <v>7</v>
      </c>
      <c r="BL44" s="74"/>
      <c r="BM44" s="75">
        <v>9</v>
      </c>
    </row>
    <row r="45" spans="2:65" ht="46.8" thickBot="1" x14ac:dyDescent="0.35">
      <c r="B45" s="79">
        <v>4</v>
      </c>
      <c r="C45" s="80"/>
      <c r="D45" s="81">
        <v>9</v>
      </c>
      <c r="E45" s="82"/>
      <c r="F45" s="83">
        <v>1</v>
      </c>
      <c r="G45" s="84"/>
      <c r="H45" s="79"/>
      <c r="I45" s="80">
        <v>8</v>
      </c>
      <c r="J45" s="81">
        <v>6</v>
      </c>
      <c r="X45" s="79">
        <v>4</v>
      </c>
      <c r="Y45" s="80"/>
      <c r="Z45" s="81">
        <v>8</v>
      </c>
      <c r="AA45" s="82"/>
      <c r="AB45" s="83">
        <v>7</v>
      </c>
      <c r="AC45" s="84"/>
      <c r="AD45" s="79"/>
      <c r="AE45" s="80"/>
      <c r="AF45" s="81"/>
      <c r="AI45" s="79"/>
      <c r="AJ45" s="80"/>
      <c r="AK45" s="81">
        <v>1</v>
      </c>
      <c r="AL45" s="82">
        <v>4</v>
      </c>
      <c r="AM45" s="83">
        <v>2</v>
      </c>
      <c r="AN45" s="84"/>
      <c r="AO45" s="79"/>
      <c r="AP45" s="80"/>
      <c r="AQ45" s="81"/>
      <c r="AT45" s="79"/>
      <c r="AU45" s="80"/>
      <c r="AV45" s="81">
        <v>7</v>
      </c>
      <c r="AW45" s="82"/>
      <c r="AX45" s="83"/>
      <c r="AY45" s="84"/>
      <c r="AZ45" s="79">
        <v>1</v>
      </c>
      <c r="BA45" s="80">
        <v>2</v>
      </c>
      <c r="BB45" s="81"/>
      <c r="BE45" s="79"/>
      <c r="BF45" s="80"/>
      <c r="BG45" s="81"/>
      <c r="BH45" s="82"/>
      <c r="BI45" s="83">
        <v>9</v>
      </c>
      <c r="BJ45" s="84"/>
      <c r="BK45" s="79"/>
      <c r="BL45" s="80"/>
      <c r="BM45" s="81"/>
    </row>
    <row r="46" spans="2:65" ht="46.2" x14ac:dyDescent="0.3">
      <c r="B46" s="70"/>
      <c r="C46" s="71">
        <v>9</v>
      </c>
      <c r="D46" s="72">
        <v>7</v>
      </c>
      <c r="E46" s="67">
        <v>5</v>
      </c>
      <c r="F46" s="68">
        <v>3</v>
      </c>
      <c r="G46" s="69"/>
      <c r="H46" s="70">
        <v>4</v>
      </c>
      <c r="I46" s="71"/>
      <c r="J46" s="72"/>
      <c r="X46" s="70">
        <v>6</v>
      </c>
      <c r="Y46" s="71"/>
      <c r="Z46" s="72"/>
      <c r="AA46" s="67"/>
      <c r="AB46" s="68"/>
      <c r="AC46" s="69">
        <v>7</v>
      </c>
      <c r="AD46" s="70"/>
      <c r="AE46" s="71"/>
      <c r="AF46" s="72">
        <v>2</v>
      </c>
      <c r="AI46" s="70"/>
      <c r="AJ46" s="71"/>
      <c r="AK46" s="72">
        <v>3</v>
      </c>
      <c r="AL46" s="67"/>
      <c r="AM46" s="68">
        <v>8</v>
      </c>
      <c r="AN46" s="69"/>
      <c r="AO46" s="70">
        <v>4</v>
      </c>
      <c r="AP46" s="71"/>
      <c r="AQ46" s="72"/>
      <c r="AT46" s="70">
        <v>8</v>
      </c>
      <c r="AU46" s="71"/>
      <c r="AV46" s="72"/>
      <c r="AW46" s="67"/>
      <c r="AX46" s="68">
        <v>7</v>
      </c>
      <c r="AY46" s="69"/>
      <c r="AZ46" s="70"/>
      <c r="BA46" s="71">
        <v>9</v>
      </c>
      <c r="BB46" s="72"/>
      <c r="BE46" s="70"/>
      <c r="BF46" s="71"/>
      <c r="BG46" s="72"/>
      <c r="BH46" s="67">
        <v>9</v>
      </c>
      <c r="BI46" s="68"/>
      <c r="BJ46" s="69"/>
      <c r="BK46" s="70">
        <v>5</v>
      </c>
      <c r="BL46" s="71">
        <v>3</v>
      </c>
      <c r="BM46" s="72"/>
    </row>
    <row r="47" spans="2:65" ht="46.2" x14ac:dyDescent="0.3">
      <c r="B47" s="76"/>
      <c r="C47" s="77"/>
      <c r="D47" s="78"/>
      <c r="E47" s="73"/>
      <c r="F47" s="74">
        <v>7</v>
      </c>
      <c r="G47" s="75"/>
      <c r="H47" s="76"/>
      <c r="I47" s="77"/>
      <c r="J47" s="78"/>
      <c r="X47" s="76"/>
      <c r="Y47" s="77">
        <v>4</v>
      </c>
      <c r="Z47" s="78">
        <v>7</v>
      </c>
      <c r="AA47" s="73">
        <v>2</v>
      </c>
      <c r="AB47" s="74"/>
      <c r="AC47" s="75">
        <v>5</v>
      </c>
      <c r="AD47" s="76">
        <v>9</v>
      </c>
      <c r="AE47" s="77">
        <v>8</v>
      </c>
      <c r="AF47" s="78"/>
      <c r="AI47" s="76"/>
      <c r="AJ47" s="77">
        <v>1</v>
      </c>
      <c r="AK47" s="78"/>
      <c r="AL47" s="73"/>
      <c r="AM47" s="74"/>
      <c r="AN47" s="75"/>
      <c r="AO47" s="76"/>
      <c r="AP47" s="77">
        <v>6</v>
      </c>
      <c r="AQ47" s="78"/>
      <c r="AT47" s="76"/>
      <c r="AU47" s="77"/>
      <c r="AV47" s="78"/>
      <c r="AW47" s="73"/>
      <c r="AX47" s="74">
        <v>4</v>
      </c>
      <c r="AY47" s="75"/>
      <c r="AZ47" s="76"/>
      <c r="BA47" s="77"/>
      <c r="BB47" s="78"/>
      <c r="BE47" s="76"/>
      <c r="BF47" s="77"/>
      <c r="BG47" s="78">
        <v>2</v>
      </c>
      <c r="BH47" s="73"/>
      <c r="BI47" s="74">
        <v>3</v>
      </c>
      <c r="BJ47" s="75"/>
      <c r="BK47" s="76">
        <v>6</v>
      </c>
      <c r="BL47" s="77"/>
      <c r="BM47" s="78"/>
    </row>
    <row r="48" spans="2:65" ht="46.8" thickBot="1" x14ac:dyDescent="0.35">
      <c r="B48" s="82"/>
      <c r="C48" s="83"/>
      <c r="D48" s="84">
        <v>4</v>
      </c>
      <c r="E48" s="79"/>
      <c r="F48" s="80">
        <v>9</v>
      </c>
      <c r="G48" s="81">
        <v>2</v>
      </c>
      <c r="H48" s="82">
        <v>1</v>
      </c>
      <c r="I48" s="83">
        <v>3</v>
      </c>
      <c r="J48" s="84"/>
      <c r="X48" s="82">
        <v>2</v>
      </c>
      <c r="Y48" s="83"/>
      <c r="Z48" s="84"/>
      <c r="AA48" s="79">
        <v>9</v>
      </c>
      <c r="AB48" s="80"/>
      <c r="AC48" s="81"/>
      <c r="AD48" s="82"/>
      <c r="AE48" s="83"/>
      <c r="AF48" s="84">
        <v>4</v>
      </c>
      <c r="AI48" s="82"/>
      <c r="AJ48" s="83"/>
      <c r="AK48" s="84">
        <v>9</v>
      </c>
      <c r="AL48" s="79"/>
      <c r="AM48" s="80">
        <v>7</v>
      </c>
      <c r="AN48" s="81"/>
      <c r="AO48" s="82">
        <v>5</v>
      </c>
      <c r="AP48" s="83"/>
      <c r="AQ48" s="84"/>
      <c r="AT48" s="82"/>
      <c r="AU48" s="83">
        <v>4</v>
      </c>
      <c r="AV48" s="84"/>
      <c r="AW48" s="79"/>
      <c r="AX48" s="80">
        <v>1</v>
      </c>
      <c r="AY48" s="81"/>
      <c r="AZ48" s="82"/>
      <c r="BA48" s="83"/>
      <c r="BB48" s="84">
        <v>5</v>
      </c>
      <c r="BE48" s="82"/>
      <c r="BF48" s="83">
        <v>6</v>
      </c>
      <c r="BG48" s="84">
        <v>5</v>
      </c>
      <c r="BH48" s="79"/>
      <c r="BI48" s="80"/>
      <c r="BJ48" s="81">
        <v>1</v>
      </c>
      <c r="BK48" s="82"/>
      <c r="BL48" s="83"/>
      <c r="BM48" s="84"/>
    </row>
    <row r="49" spans="2:65" ht="46.2" x14ac:dyDescent="0.3">
      <c r="B49" s="67">
        <v>7</v>
      </c>
      <c r="C49" s="68">
        <v>4</v>
      </c>
      <c r="D49" s="69"/>
      <c r="E49" s="70"/>
      <c r="F49" s="71">
        <v>2</v>
      </c>
      <c r="G49" s="72"/>
      <c r="H49" s="67">
        <v>6</v>
      </c>
      <c r="I49" s="68"/>
      <c r="J49" s="69">
        <v>1</v>
      </c>
      <c r="X49" s="67"/>
      <c r="Y49" s="68"/>
      <c r="Z49" s="69"/>
      <c r="AA49" s="70"/>
      <c r="AB49" s="71">
        <v>9</v>
      </c>
      <c r="AC49" s="72"/>
      <c r="AD49" s="67">
        <v>6</v>
      </c>
      <c r="AE49" s="68"/>
      <c r="AF49" s="69">
        <v>8</v>
      </c>
      <c r="AI49" s="67"/>
      <c r="AJ49" s="68"/>
      <c r="AK49" s="69"/>
      <c r="AL49" s="70"/>
      <c r="AM49" s="71">
        <v>3</v>
      </c>
      <c r="AN49" s="72">
        <v>8</v>
      </c>
      <c r="AO49" s="67">
        <v>7</v>
      </c>
      <c r="AP49" s="68"/>
      <c r="AQ49" s="69"/>
      <c r="AT49" s="67"/>
      <c r="AU49" s="68">
        <v>7</v>
      </c>
      <c r="AV49" s="69">
        <v>8</v>
      </c>
      <c r="AW49" s="70"/>
      <c r="AX49" s="71"/>
      <c r="AY49" s="72"/>
      <c r="AZ49" s="67">
        <v>2</v>
      </c>
      <c r="BA49" s="68"/>
      <c r="BB49" s="69"/>
      <c r="BE49" s="67"/>
      <c r="BF49" s="68"/>
      <c r="BG49" s="69"/>
      <c r="BH49" s="70"/>
      <c r="BI49" s="71">
        <v>1</v>
      </c>
      <c r="BJ49" s="72"/>
      <c r="BK49" s="67"/>
      <c r="BL49" s="68"/>
      <c r="BM49" s="69"/>
    </row>
    <row r="50" spans="2:65" ht="46.2" x14ac:dyDescent="0.3">
      <c r="B50" s="73">
        <v>6</v>
      </c>
      <c r="C50" s="74">
        <v>3</v>
      </c>
      <c r="D50" s="75"/>
      <c r="E50" s="76"/>
      <c r="F50" s="77">
        <v>8</v>
      </c>
      <c r="G50" s="78"/>
      <c r="H50" s="73"/>
      <c r="I50" s="74">
        <v>4</v>
      </c>
      <c r="J50" s="75">
        <v>5</v>
      </c>
      <c r="X50" s="73"/>
      <c r="Y50" s="74"/>
      <c r="Z50" s="75"/>
      <c r="AA50" s="76"/>
      <c r="AB50" s="77">
        <v>5</v>
      </c>
      <c r="AC50" s="78"/>
      <c r="AD50" s="73"/>
      <c r="AE50" s="74">
        <v>4</v>
      </c>
      <c r="AF50" s="75"/>
      <c r="AI50" s="73"/>
      <c r="AJ50" s="74"/>
      <c r="AK50" s="75">
        <v>8</v>
      </c>
      <c r="AL50" s="76">
        <v>9</v>
      </c>
      <c r="AM50" s="77"/>
      <c r="AN50" s="78"/>
      <c r="AO50" s="73"/>
      <c r="AP50" s="74"/>
      <c r="AQ50" s="75">
        <v>6</v>
      </c>
      <c r="AT50" s="73"/>
      <c r="AU50" s="74">
        <v>6</v>
      </c>
      <c r="AV50" s="75"/>
      <c r="AW50" s="76">
        <v>7</v>
      </c>
      <c r="AX50" s="77">
        <v>3</v>
      </c>
      <c r="AY50" s="78"/>
      <c r="AZ50" s="73">
        <v>8</v>
      </c>
      <c r="BA50" s="74">
        <v>1</v>
      </c>
      <c r="BB50" s="75"/>
      <c r="BE50" s="73">
        <v>4</v>
      </c>
      <c r="BF50" s="74"/>
      <c r="BG50" s="75">
        <v>6</v>
      </c>
      <c r="BH50" s="76"/>
      <c r="BI50" s="77">
        <v>2</v>
      </c>
      <c r="BJ50" s="78"/>
      <c r="BK50" s="73"/>
      <c r="BL50" s="74"/>
      <c r="BM50" s="75">
        <v>5</v>
      </c>
    </row>
    <row r="51" spans="2:65" ht="46.8" thickBot="1" x14ac:dyDescent="0.35">
      <c r="B51" s="79">
        <v>9</v>
      </c>
      <c r="C51" s="80"/>
      <c r="D51" s="81"/>
      <c r="E51" s="82"/>
      <c r="F51" s="83">
        <v>6</v>
      </c>
      <c r="G51" s="84">
        <v>4</v>
      </c>
      <c r="H51" s="79"/>
      <c r="I51" s="80"/>
      <c r="J51" s="81">
        <v>3</v>
      </c>
      <c r="X51" s="79"/>
      <c r="Y51" s="80"/>
      <c r="Z51" s="81"/>
      <c r="AA51" s="82">
        <v>8</v>
      </c>
      <c r="AB51" s="83">
        <v>4</v>
      </c>
      <c r="AC51" s="84">
        <v>1</v>
      </c>
      <c r="AD51" s="79">
        <v>3</v>
      </c>
      <c r="AE51" s="80"/>
      <c r="AF51" s="81">
        <v>9</v>
      </c>
      <c r="AI51" s="79">
        <v>1</v>
      </c>
      <c r="AJ51" s="80">
        <v>9</v>
      </c>
      <c r="AK51" s="81"/>
      <c r="AL51" s="82">
        <v>7</v>
      </c>
      <c r="AM51" s="83">
        <v>4</v>
      </c>
      <c r="AN51" s="84"/>
      <c r="AO51" s="79"/>
      <c r="AP51" s="80"/>
      <c r="AQ51" s="81">
        <v>5</v>
      </c>
      <c r="AT51" s="79"/>
      <c r="AU51" s="80">
        <v>9</v>
      </c>
      <c r="AV51" s="81"/>
      <c r="AW51" s="82"/>
      <c r="AX51" s="83"/>
      <c r="AY51" s="84">
        <v>2</v>
      </c>
      <c r="AZ51" s="79"/>
      <c r="BA51" s="80">
        <v>5</v>
      </c>
      <c r="BB51" s="81"/>
      <c r="BE51" s="79"/>
      <c r="BF51" s="80">
        <v>9</v>
      </c>
      <c r="BG51" s="81"/>
      <c r="BH51" s="82">
        <v>6</v>
      </c>
      <c r="BI51" s="83">
        <v>5</v>
      </c>
      <c r="BJ51" s="84"/>
      <c r="BK51" s="79">
        <v>2</v>
      </c>
      <c r="BL51" s="80"/>
      <c r="BM51" s="81">
        <v>1</v>
      </c>
    </row>
    <row r="53" spans="2:65" ht="15" thickBot="1" x14ac:dyDescent="0.35"/>
    <row r="54" spans="2:65" ht="33.6" x14ac:dyDescent="0.65">
      <c r="B54" s="339" t="s">
        <v>24</v>
      </c>
      <c r="C54" s="340"/>
      <c r="D54" s="340"/>
      <c r="E54" s="340"/>
      <c r="F54" s="340"/>
      <c r="G54" s="340"/>
      <c r="H54" s="340"/>
      <c r="I54" s="340"/>
      <c r="J54" s="339"/>
      <c r="X54" s="339" t="s">
        <v>24</v>
      </c>
      <c r="Y54" s="340"/>
      <c r="Z54" s="340"/>
      <c r="AA54" s="340"/>
      <c r="AB54" s="340"/>
      <c r="AC54" s="340"/>
      <c r="AD54" s="340"/>
      <c r="AE54" s="340"/>
      <c r="AF54" s="339"/>
      <c r="AT54" s="339" t="s">
        <v>24</v>
      </c>
      <c r="AU54" s="340"/>
      <c r="AV54" s="340"/>
      <c r="AW54" s="340"/>
      <c r="AX54" s="340"/>
      <c r="AY54" s="340"/>
      <c r="AZ54" s="340"/>
      <c r="BA54" s="340"/>
      <c r="BB54" s="339"/>
      <c r="BE54" s="339" t="s">
        <v>24</v>
      </c>
      <c r="BF54" s="340"/>
      <c r="BG54" s="340"/>
      <c r="BH54" s="340"/>
      <c r="BI54" s="340"/>
      <c r="BJ54" s="340"/>
      <c r="BK54" s="340"/>
      <c r="BL54" s="340"/>
      <c r="BM54" s="339"/>
    </row>
    <row r="55" spans="2:65" ht="28.8" thickBot="1" x14ac:dyDescent="0.6">
      <c r="B55" s="44" t="s">
        <v>23</v>
      </c>
      <c r="C55" s="44" t="s">
        <v>20</v>
      </c>
      <c r="D55" s="44" t="s">
        <v>31</v>
      </c>
      <c r="E55" s="44" t="s">
        <v>25</v>
      </c>
      <c r="F55" s="44" t="s">
        <v>26</v>
      </c>
      <c r="G55" s="44" t="s">
        <v>27</v>
      </c>
      <c r="H55" s="44" t="s">
        <v>28</v>
      </c>
      <c r="I55" s="44" t="s">
        <v>29</v>
      </c>
      <c r="J55" s="44" t="s">
        <v>30</v>
      </c>
      <c r="X55" s="44" t="s">
        <v>23</v>
      </c>
      <c r="Y55" s="44" t="s">
        <v>20</v>
      </c>
      <c r="Z55" s="44" t="s">
        <v>31</v>
      </c>
      <c r="AA55" s="44" t="s">
        <v>25</v>
      </c>
      <c r="AB55" s="44" t="s">
        <v>26</v>
      </c>
      <c r="AC55" s="44" t="s">
        <v>27</v>
      </c>
      <c r="AD55" s="44" t="s">
        <v>28</v>
      </c>
      <c r="AE55" s="44" t="s">
        <v>29</v>
      </c>
      <c r="AF55" s="44" t="s">
        <v>30</v>
      </c>
      <c r="AT55" s="282" t="s">
        <v>23</v>
      </c>
      <c r="AU55" s="282" t="s">
        <v>20</v>
      </c>
      <c r="AV55" s="282" t="s">
        <v>31</v>
      </c>
      <c r="AW55" s="282" t="s">
        <v>25</v>
      </c>
      <c r="AX55" s="282" t="s">
        <v>26</v>
      </c>
      <c r="AY55" s="282" t="s">
        <v>27</v>
      </c>
      <c r="AZ55" s="282" t="s">
        <v>28</v>
      </c>
      <c r="BA55" s="282" t="s">
        <v>29</v>
      </c>
      <c r="BB55" s="282" t="s">
        <v>30</v>
      </c>
      <c r="BE55" s="44" t="s">
        <v>23</v>
      </c>
      <c r="BF55" s="44" t="s">
        <v>20</v>
      </c>
      <c r="BG55" s="44" t="s">
        <v>31</v>
      </c>
      <c r="BH55" s="44" t="s">
        <v>25</v>
      </c>
      <c r="BI55" s="44" t="s">
        <v>26</v>
      </c>
      <c r="BJ55" s="44" t="s">
        <v>27</v>
      </c>
      <c r="BK55" s="44" t="s">
        <v>28</v>
      </c>
      <c r="BL55" s="44" t="s">
        <v>29</v>
      </c>
      <c r="BM55" s="44" t="s">
        <v>30</v>
      </c>
    </row>
    <row r="56" spans="2:65" ht="46.2" x14ac:dyDescent="0.3">
      <c r="B56" s="67">
        <v>4</v>
      </c>
      <c r="C56" s="67">
        <v>8</v>
      </c>
      <c r="D56" s="69"/>
      <c r="E56" s="70"/>
      <c r="F56" s="71">
        <v>9</v>
      </c>
      <c r="G56" s="72">
        <v>3</v>
      </c>
      <c r="H56" s="67">
        <v>2</v>
      </c>
      <c r="I56" s="258"/>
      <c r="J56" s="69">
        <v>6</v>
      </c>
      <c r="X56" s="67">
        <v>3</v>
      </c>
      <c r="Y56" s="68">
        <v>7</v>
      </c>
      <c r="Z56" s="69"/>
      <c r="AA56" s="70"/>
      <c r="AB56" s="71"/>
      <c r="AC56" s="72"/>
      <c r="AD56" s="67"/>
      <c r="AE56" s="68"/>
      <c r="AF56" s="69"/>
      <c r="AT56" s="67">
        <v>3</v>
      </c>
      <c r="AU56" s="68"/>
      <c r="AV56" s="69"/>
      <c r="AW56" s="70"/>
      <c r="AX56" s="71"/>
      <c r="AY56" s="72">
        <v>7</v>
      </c>
      <c r="AZ56" s="67"/>
      <c r="BA56" s="68"/>
      <c r="BB56" s="69">
        <v>9</v>
      </c>
      <c r="BE56" s="254"/>
      <c r="BF56" s="258"/>
      <c r="BG56" s="262"/>
      <c r="BH56" s="267"/>
      <c r="BI56" s="71">
        <v>2</v>
      </c>
      <c r="BJ56" s="269"/>
      <c r="BK56" s="67">
        <v>8</v>
      </c>
      <c r="BL56" s="258"/>
      <c r="BM56" s="69">
        <v>5</v>
      </c>
    </row>
    <row r="57" spans="2:65" ht="46.2" x14ac:dyDescent="0.3">
      <c r="B57" s="255"/>
      <c r="C57" s="74"/>
      <c r="D57" s="263"/>
      <c r="E57" s="76">
        <v>6</v>
      </c>
      <c r="F57" s="77"/>
      <c r="G57" s="78">
        <v>5</v>
      </c>
      <c r="H57" s="73"/>
      <c r="I57" s="74">
        <v>8</v>
      </c>
      <c r="J57" s="75">
        <v>1</v>
      </c>
      <c r="X57" s="73"/>
      <c r="Y57" s="74"/>
      <c r="Z57" s="75">
        <v>9</v>
      </c>
      <c r="AA57" s="76"/>
      <c r="AB57" s="77">
        <v>6</v>
      </c>
      <c r="AC57" s="78">
        <v>1</v>
      </c>
      <c r="AD57" s="73">
        <v>8</v>
      </c>
      <c r="AE57" s="74"/>
      <c r="AF57" s="75"/>
      <c r="AT57" s="73"/>
      <c r="AU57" s="74"/>
      <c r="AV57" s="75">
        <v>8</v>
      </c>
      <c r="AW57" s="76"/>
      <c r="AX57" s="77"/>
      <c r="AY57" s="78"/>
      <c r="AZ57" s="73">
        <v>5</v>
      </c>
      <c r="BA57" s="74"/>
      <c r="BB57" s="75">
        <v>7</v>
      </c>
      <c r="BE57" s="255"/>
      <c r="BF57" s="74">
        <v>7</v>
      </c>
      <c r="BG57" s="263"/>
      <c r="BH57" s="256"/>
      <c r="BI57" s="77">
        <v>8</v>
      </c>
      <c r="BJ57" s="78">
        <v>5</v>
      </c>
      <c r="BK57" s="255"/>
      <c r="BL57" s="74">
        <v>3</v>
      </c>
      <c r="BM57" s="263"/>
    </row>
    <row r="58" spans="2:65" ht="46.8" thickBot="1" x14ac:dyDescent="0.35">
      <c r="B58" s="79"/>
      <c r="C58" s="80">
        <v>6</v>
      </c>
      <c r="D58" s="81">
        <v>7</v>
      </c>
      <c r="E58" s="82">
        <v>8</v>
      </c>
      <c r="F58" s="83">
        <v>2</v>
      </c>
      <c r="G58" s="266"/>
      <c r="H58" s="79"/>
      <c r="I58" s="80"/>
      <c r="J58" s="81">
        <v>9</v>
      </c>
      <c r="X58" s="79"/>
      <c r="Y58" s="80">
        <v>4</v>
      </c>
      <c r="Z58" s="81"/>
      <c r="AA58" s="82">
        <v>9</v>
      </c>
      <c r="AB58" s="83">
        <v>8</v>
      </c>
      <c r="AC58" s="84"/>
      <c r="AD58" s="79"/>
      <c r="AE58" s="80"/>
      <c r="AF58" s="81">
        <v>5</v>
      </c>
      <c r="AT58" s="79">
        <v>2</v>
      </c>
      <c r="AU58" s="80">
        <v>7</v>
      </c>
      <c r="AV58" s="81">
        <v>4</v>
      </c>
      <c r="AW58" s="82"/>
      <c r="AX58" s="83">
        <v>8</v>
      </c>
      <c r="AY58" s="84"/>
      <c r="AZ58" s="79"/>
      <c r="BA58" s="80"/>
      <c r="BB58" s="81"/>
      <c r="BE58" s="79">
        <v>9</v>
      </c>
      <c r="BF58" s="259"/>
      <c r="BG58" s="264"/>
      <c r="BH58" s="257"/>
      <c r="BI58" s="83">
        <v>3</v>
      </c>
      <c r="BJ58" s="266"/>
      <c r="BK58" s="268"/>
      <c r="BL58" s="259"/>
      <c r="BM58" s="264"/>
    </row>
    <row r="59" spans="2:65" ht="46.2" x14ac:dyDescent="0.3">
      <c r="B59" s="70">
        <v>6</v>
      </c>
      <c r="C59" s="71"/>
      <c r="D59" s="72">
        <v>8</v>
      </c>
      <c r="E59" s="67"/>
      <c r="F59" s="68">
        <v>5</v>
      </c>
      <c r="G59" s="69"/>
      <c r="H59" s="70">
        <v>1</v>
      </c>
      <c r="I59" s="71">
        <v>3</v>
      </c>
      <c r="J59" s="72"/>
      <c r="X59" s="70"/>
      <c r="Y59" s="71"/>
      <c r="Z59" s="72"/>
      <c r="AA59" s="67"/>
      <c r="AB59" s="68">
        <v>9</v>
      </c>
      <c r="AC59" s="69"/>
      <c r="AD59" s="70"/>
      <c r="AE59" s="71">
        <v>6</v>
      </c>
      <c r="AF59" s="72"/>
      <c r="AT59" s="70"/>
      <c r="AU59" s="71"/>
      <c r="AV59" s="72"/>
      <c r="AW59" s="67"/>
      <c r="AX59" s="68">
        <v>2</v>
      </c>
      <c r="AY59" s="69"/>
      <c r="AZ59" s="70"/>
      <c r="BA59" s="71"/>
      <c r="BB59" s="72">
        <v>4</v>
      </c>
      <c r="BE59" s="70">
        <v>4</v>
      </c>
      <c r="BF59" s="260"/>
      <c r="BG59" s="72">
        <v>2</v>
      </c>
      <c r="BH59" s="67">
        <v>1</v>
      </c>
      <c r="BI59" s="68">
        <v>7</v>
      </c>
      <c r="BJ59" s="69"/>
      <c r="BK59" s="267"/>
      <c r="BL59" s="260"/>
      <c r="BM59" s="269"/>
    </row>
    <row r="60" spans="2:65" ht="46.2" x14ac:dyDescent="0.3">
      <c r="B60" s="76"/>
      <c r="C60" s="77"/>
      <c r="D60" s="78"/>
      <c r="E60" s="73"/>
      <c r="F60" s="74">
        <v>3</v>
      </c>
      <c r="G60" s="75"/>
      <c r="H60" s="76"/>
      <c r="I60" s="77"/>
      <c r="J60" s="78"/>
      <c r="X60" s="76">
        <v>8</v>
      </c>
      <c r="Y60" s="77"/>
      <c r="Z60" s="78">
        <v>6</v>
      </c>
      <c r="AA60" s="73"/>
      <c r="AB60" s="74">
        <v>4</v>
      </c>
      <c r="AC60" s="75"/>
      <c r="AD60" s="76">
        <v>5</v>
      </c>
      <c r="AE60" s="77"/>
      <c r="AF60" s="78">
        <v>9</v>
      </c>
      <c r="AT60" s="76"/>
      <c r="AU60" s="77"/>
      <c r="AV60" s="78">
        <v>7</v>
      </c>
      <c r="AW60" s="73">
        <v>4</v>
      </c>
      <c r="AX60" s="74"/>
      <c r="AY60" s="75">
        <v>3</v>
      </c>
      <c r="AZ60" s="76">
        <v>1</v>
      </c>
      <c r="BA60" s="77"/>
      <c r="BB60" s="78"/>
      <c r="BE60" s="256"/>
      <c r="BF60" s="77">
        <v>9</v>
      </c>
      <c r="BG60" s="265"/>
      <c r="BH60" s="255"/>
      <c r="BI60" s="74">
        <v>4</v>
      </c>
      <c r="BJ60" s="263"/>
      <c r="BK60" s="256"/>
      <c r="BL60" s="77">
        <v>7</v>
      </c>
      <c r="BM60" s="265"/>
    </row>
    <row r="61" spans="2:65" ht="46.8" thickBot="1" x14ac:dyDescent="0.35">
      <c r="B61" s="82"/>
      <c r="C61" s="83">
        <v>3</v>
      </c>
      <c r="D61" s="84">
        <v>2</v>
      </c>
      <c r="E61" s="79"/>
      <c r="F61" s="80">
        <v>8</v>
      </c>
      <c r="G61" s="81"/>
      <c r="H61" s="82">
        <v>5</v>
      </c>
      <c r="I61" s="83"/>
      <c r="J61" s="84">
        <v>7</v>
      </c>
      <c r="X61" s="82"/>
      <c r="Y61" s="83">
        <v>1</v>
      </c>
      <c r="Z61" s="84"/>
      <c r="AA61" s="79"/>
      <c r="AB61" s="80">
        <v>2</v>
      </c>
      <c r="AC61" s="81"/>
      <c r="AD61" s="82"/>
      <c r="AE61" s="83"/>
      <c r="AF61" s="84"/>
      <c r="AT61" s="82">
        <v>5</v>
      </c>
      <c r="AU61" s="83"/>
      <c r="AV61" s="84"/>
      <c r="AW61" s="79"/>
      <c r="AX61" s="80">
        <v>7</v>
      </c>
      <c r="AY61" s="81"/>
      <c r="AZ61" s="82"/>
      <c r="BA61" s="83"/>
      <c r="BB61" s="84"/>
      <c r="BE61" s="257"/>
      <c r="BF61" s="261"/>
      <c r="BG61" s="266"/>
      <c r="BH61" s="268"/>
      <c r="BI61" s="80">
        <v>5</v>
      </c>
      <c r="BJ61" s="81">
        <v>8</v>
      </c>
      <c r="BK61" s="82">
        <v>2</v>
      </c>
      <c r="BL61" s="83"/>
      <c r="BM61" s="84">
        <v>9</v>
      </c>
    </row>
    <row r="62" spans="2:65" ht="46.2" x14ac:dyDescent="0.3">
      <c r="B62" s="67">
        <v>8</v>
      </c>
      <c r="C62" s="68"/>
      <c r="D62" s="262"/>
      <c r="E62" s="70"/>
      <c r="F62" s="71">
        <v>1</v>
      </c>
      <c r="G62" s="72">
        <v>9</v>
      </c>
      <c r="H62" s="67">
        <v>6</v>
      </c>
      <c r="I62" s="68">
        <v>2</v>
      </c>
      <c r="J62" s="69"/>
      <c r="X62" s="67">
        <v>5</v>
      </c>
      <c r="Y62" s="68"/>
      <c r="Z62" s="69"/>
      <c r="AA62" s="70"/>
      <c r="AB62" s="71">
        <v>1</v>
      </c>
      <c r="AC62" s="72">
        <v>9</v>
      </c>
      <c r="AD62" s="67"/>
      <c r="AE62" s="68">
        <v>4</v>
      </c>
      <c r="AF62" s="69"/>
      <c r="AT62" s="67"/>
      <c r="AU62" s="68"/>
      <c r="AV62" s="69"/>
      <c r="AW62" s="70"/>
      <c r="AX62" s="71">
        <v>6</v>
      </c>
      <c r="AY62" s="72"/>
      <c r="AZ62" s="67">
        <v>4</v>
      </c>
      <c r="BA62" s="68">
        <v>9</v>
      </c>
      <c r="BB62" s="69">
        <v>8</v>
      </c>
      <c r="BE62" s="254"/>
      <c r="BF62" s="258"/>
      <c r="BG62" s="262"/>
      <c r="BH62" s="267"/>
      <c r="BI62" s="71">
        <v>9</v>
      </c>
      <c r="BJ62" s="269"/>
      <c r="BK62" s="254"/>
      <c r="BL62" s="258"/>
      <c r="BM62" s="69">
        <v>4</v>
      </c>
    </row>
    <row r="63" spans="2:65" ht="46.2" x14ac:dyDescent="0.3">
      <c r="B63" s="73">
        <v>2</v>
      </c>
      <c r="C63" s="74">
        <v>5</v>
      </c>
      <c r="D63" s="75"/>
      <c r="E63" s="76">
        <v>3</v>
      </c>
      <c r="F63" s="77"/>
      <c r="G63" s="78">
        <v>4</v>
      </c>
      <c r="H63" s="73"/>
      <c r="I63" s="74"/>
      <c r="J63" s="263"/>
      <c r="X63" s="73"/>
      <c r="Y63" s="74"/>
      <c r="Z63" s="75">
        <v>7</v>
      </c>
      <c r="AA63" s="76">
        <v>6</v>
      </c>
      <c r="AB63" s="77">
        <v>3</v>
      </c>
      <c r="AC63" s="78"/>
      <c r="AD63" s="73">
        <v>1</v>
      </c>
      <c r="AE63" s="74"/>
      <c r="AF63" s="75"/>
      <c r="AT63" s="73">
        <v>4</v>
      </c>
      <c r="AU63" s="74"/>
      <c r="AV63" s="75">
        <v>9</v>
      </c>
      <c r="AW63" s="76"/>
      <c r="AX63" s="77"/>
      <c r="AY63" s="78"/>
      <c r="AZ63" s="73">
        <v>3</v>
      </c>
      <c r="BA63" s="74"/>
      <c r="BB63" s="75"/>
      <c r="BE63" s="73"/>
      <c r="BF63" s="74">
        <v>1</v>
      </c>
      <c r="BG63" s="263"/>
      <c r="BH63" s="76">
        <v>5</v>
      </c>
      <c r="BI63" s="77">
        <v>6</v>
      </c>
      <c r="BJ63" s="265"/>
      <c r="BK63" s="255"/>
      <c r="BL63" s="74">
        <v>8</v>
      </c>
      <c r="BM63" s="263"/>
    </row>
    <row r="64" spans="2:65" ht="46.8" thickBot="1" x14ac:dyDescent="0.35">
      <c r="B64" s="79">
        <v>3</v>
      </c>
      <c r="C64" s="80"/>
      <c r="D64" s="81">
        <v>9</v>
      </c>
      <c r="E64" s="82">
        <v>2</v>
      </c>
      <c r="F64" s="83">
        <v>6</v>
      </c>
      <c r="G64" s="84"/>
      <c r="H64" s="268"/>
      <c r="I64" s="80">
        <v>7</v>
      </c>
      <c r="J64" s="81">
        <v>5</v>
      </c>
      <c r="X64" s="79"/>
      <c r="Y64" s="80"/>
      <c r="Z64" s="81"/>
      <c r="AA64" s="82"/>
      <c r="AB64" s="83"/>
      <c r="AC64" s="84"/>
      <c r="AD64" s="79"/>
      <c r="AE64" s="80">
        <v>8</v>
      </c>
      <c r="AF64" s="81">
        <v>3</v>
      </c>
      <c r="AT64" s="79">
        <v>1</v>
      </c>
      <c r="AU64" s="80"/>
      <c r="AV64" s="81"/>
      <c r="AW64" s="82">
        <v>8</v>
      </c>
      <c r="AX64" s="83"/>
      <c r="AY64" s="84"/>
      <c r="AZ64" s="79"/>
      <c r="BA64" s="80"/>
      <c r="BB64" s="81">
        <v>5</v>
      </c>
      <c r="BE64" s="79">
        <v>5</v>
      </c>
      <c r="BF64" s="259"/>
      <c r="BG64" s="81">
        <v>3</v>
      </c>
      <c r="BH64" s="257"/>
      <c r="BI64" s="83">
        <v>1</v>
      </c>
      <c r="BJ64" s="266"/>
      <c r="BK64" s="268"/>
      <c r="BL64" s="259"/>
      <c r="BM64" s="264"/>
    </row>
    <row r="66" spans="24:65" ht="15" thickBot="1" x14ac:dyDescent="0.35"/>
    <row r="67" spans="24:65" ht="33.6" x14ac:dyDescent="0.65">
      <c r="X67" s="339" t="s">
        <v>24</v>
      </c>
      <c r="Y67" s="340"/>
      <c r="Z67" s="340"/>
      <c r="AA67" s="340"/>
      <c r="AB67" s="340"/>
      <c r="AC67" s="340"/>
      <c r="AD67" s="340"/>
      <c r="AE67" s="340"/>
      <c r="AF67" s="339"/>
      <c r="BE67" s="339" t="s">
        <v>24</v>
      </c>
      <c r="BF67" s="340"/>
      <c r="BG67" s="340"/>
      <c r="BH67" s="340"/>
      <c r="BI67" s="340"/>
      <c r="BJ67" s="340"/>
      <c r="BK67" s="340"/>
      <c r="BL67" s="340"/>
      <c r="BM67" s="339"/>
    </row>
    <row r="68" spans="24:65" ht="28.8" thickBot="1" x14ac:dyDescent="0.6">
      <c r="X68" s="44" t="s">
        <v>23</v>
      </c>
      <c r="Y68" s="44" t="s">
        <v>20</v>
      </c>
      <c r="Z68" s="44" t="s">
        <v>31</v>
      </c>
      <c r="AA68" s="44" t="s">
        <v>25</v>
      </c>
      <c r="AB68" s="44" t="s">
        <v>26</v>
      </c>
      <c r="AC68" s="44" t="s">
        <v>27</v>
      </c>
      <c r="AD68" s="44" t="s">
        <v>28</v>
      </c>
      <c r="AE68" s="44" t="s">
        <v>29</v>
      </c>
      <c r="AF68" s="44" t="s">
        <v>30</v>
      </c>
      <c r="BE68" s="44" t="s">
        <v>23</v>
      </c>
      <c r="BF68" s="44" t="s">
        <v>20</v>
      </c>
      <c r="BG68" s="44" t="s">
        <v>31</v>
      </c>
      <c r="BH68" s="44" t="s">
        <v>25</v>
      </c>
      <c r="BI68" s="44" t="s">
        <v>26</v>
      </c>
      <c r="BJ68" s="44" t="s">
        <v>27</v>
      </c>
      <c r="BK68" s="44" t="s">
        <v>28</v>
      </c>
      <c r="BL68" s="44" t="s">
        <v>29</v>
      </c>
      <c r="BM68" s="44" t="s">
        <v>30</v>
      </c>
    </row>
    <row r="69" spans="24:65" ht="46.2" x14ac:dyDescent="0.3">
      <c r="X69" s="67">
        <v>5</v>
      </c>
      <c r="Y69" s="68"/>
      <c r="Z69" s="69"/>
      <c r="AA69" s="70"/>
      <c r="AB69" s="71">
        <v>9</v>
      </c>
      <c r="AC69" s="72"/>
      <c r="AD69" s="67">
        <v>1</v>
      </c>
      <c r="AE69" s="68">
        <v>7</v>
      </c>
      <c r="AF69" s="69"/>
      <c r="BE69" s="67"/>
      <c r="BF69" s="68">
        <v>3</v>
      </c>
      <c r="BG69" s="69">
        <v>4</v>
      </c>
      <c r="BH69" s="70"/>
      <c r="BI69" s="71"/>
      <c r="BJ69" s="72">
        <v>7</v>
      </c>
      <c r="BK69" s="67"/>
      <c r="BL69" s="68"/>
      <c r="BM69" s="69"/>
    </row>
    <row r="70" spans="24:65" ht="46.2" x14ac:dyDescent="0.3">
      <c r="X70" s="73"/>
      <c r="Y70" s="74"/>
      <c r="Z70" s="75"/>
      <c r="AA70" s="76"/>
      <c r="AB70" s="77">
        <v>2</v>
      </c>
      <c r="AC70" s="78">
        <v>1</v>
      </c>
      <c r="AD70" s="73">
        <v>4</v>
      </c>
      <c r="AE70" s="74"/>
      <c r="AF70" s="75">
        <v>8</v>
      </c>
      <c r="BE70" s="73"/>
      <c r="BF70" s="74"/>
      <c r="BG70" s="75"/>
      <c r="BH70" s="76"/>
      <c r="BI70" s="77">
        <v>1</v>
      </c>
      <c r="BJ70" s="78"/>
      <c r="BK70" s="73">
        <v>3</v>
      </c>
      <c r="BL70" s="74"/>
      <c r="BM70" s="75">
        <v>9</v>
      </c>
    </row>
    <row r="71" spans="24:65" ht="46.8" thickBot="1" x14ac:dyDescent="0.35">
      <c r="X71" s="79"/>
      <c r="Y71" s="80"/>
      <c r="Z71" s="81">
        <v>1</v>
      </c>
      <c r="AA71" s="82"/>
      <c r="AB71" s="83">
        <v>7</v>
      </c>
      <c r="AC71" s="84"/>
      <c r="AD71" s="79"/>
      <c r="AE71" s="80"/>
      <c r="AF71" s="81">
        <v>2</v>
      </c>
      <c r="BE71" s="79"/>
      <c r="BF71" s="80"/>
      <c r="BG71" s="81"/>
      <c r="BH71" s="82">
        <v>4</v>
      </c>
      <c r="BI71" s="83">
        <v>6</v>
      </c>
      <c r="BJ71" s="84"/>
      <c r="BK71" s="79"/>
      <c r="BL71" s="80"/>
      <c r="BM71" s="81">
        <v>7</v>
      </c>
    </row>
    <row r="72" spans="24:65" ht="46.2" x14ac:dyDescent="0.3">
      <c r="X72" s="70"/>
      <c r="Y72" s="71">
        <v>5</v>
      </c>
      <c r="Z72" s="72"/>
      <c r="AA72" s="67"/>
      <c r="AB72" s="68">
        <v>3</v>
      </c>
      <c r="AC72" s="69">
        <v>8</v>
      </c>
      <c r="AD72" s="70">
        <v>2</v>
      </c>
      <c r="AE72" s="71">
        <v>4</v>
      </c>
      <c r="AF72" s="72"/>
      <c r="BE72" s="70"/>
      <c r="BF72" s="71">
        <v>9</v>
      </c>
      <c r="BG72" s="72"/>
      <c r="BH72" s="67"/>
      <c r="BI72" s="68"/>
      <c r="BJ72" s="69"/>
      <c r="BK72" s="70"/>
      <c r="BL72" s="71">
        <v>3</v>
      </c>
      <c r="BM72" s="72"/>
    </row>
    <row r="73" spans="24:65" ht="46.2" x14ac:dyDescent="0.3">
      <c r="X73" s="76"/>
      <c r="Y73" s="77"/>
      <c r="Z73" s="78"/>
      <c r="AA73" s="73">
        <v>7</v>
      </c>
      <c r="AB73" s="74">
        <v>6</v>
      </c>
      <c r="AC73" s="75">
        <v>2</v>
      </c>
      <c r="AD73" s="76"/>
      <c r="AE73" s="77"/>
      <c r="AF73" s="78"/>
      <c r="BE73" s="76"/>
      <c r="BF73" s="77">
        <v>1</v>
      </c>
      <c r="BG73" s="78">
        <v>7</v>
      </c>
      <c r="BH73" s="73"/>
      <c r="BI73" s="74">
        <v>4</v>
      </c>
      <c r="BJ73" s="75"/>
      <c r="BK73" s="76">
        <v>8</v>
      </c>
      <c r="BL73" s="77">
        <v>9</v>
      </c>
      <c r="BM73" s="78"/>
    </row>
    <row r="74" spans="24:65" ht="46.8" thickBot="1" x14ac:dyDescent="0.35">
      <c r="X74" s="82"/>
      <c r="Y74" s="83">
        <v>8</v>
      </c>
      <c r="Z74" s="84">
        <v>3</v>
      </c>
      <c r="AA74" s="79">
        <v>5</v>
      </c>
      <c r="AB74" s="80">
        <v>1</v>
      </c>
      <c r="AC74" s="81"/>
      <c r="AD74" s="82"/>
      <c r="AE74" s="83">
        <v>6</v>
      </c>
      <c r="AF74" s="84"/>
      <c r="BE74" s="82"/>
      <c r="BF74" s="83">
        <v>4</v>
      </c>
      <c r="BG74" s="84"/>
      <c r="BH74" s="79"/>
      <c r="BI74" s="80"/>
      <c r="BJ74" s="81"/>
      <c r="BK74" s="82"/>
      <c r="BL74" s="83">
        <v>6</v>
      </c>
      <c r="BM74" s="84"/>
    </row>
    <row r="75" spans="24:65" ht="46.2" x14ac:dyDescent="0.3">
      <c r="X75" s="67">
        <v>3</v>
      </c>
      <c r="Y75" s="68"/>
      <c r="Z75" s="69"/>
      <c r="AA75" s="70"/>
      <c r="AB75" s="71">
        <v>5</v>
      </c>
      <c r="AC75" s="72"/>
      <c r="AD75" s="67">
        <v>8</v>
      </c>
      <c r="AE75" s="68"/>
      <c r="AF75" s="69"/>
      <c r="BE75" s="67">
        <v>4</v>
      </c>
      <c r="BF75" s="68"/>
      <c r="BG75" s="69"/>
      <c r="BH75" s="70"/>
      <c r="BI75" s="71">
        <v>8</v>
      </c>
      <c r="BJ75" s="72">
        <v>6</v>
      </c>
      <c r="BK75" s="67"/>
      <c r="BL75" s="68"/>
      <c r="BM75" s="69"/>
    </row>
    <row r="76" spans="24:65" ht="46.2" x14ac:dyDescent="0.3">
      <c r="X76" s="73">
        <v>4</v>
      </c>
      <c r="Y76" s="74"/>
      <c r="Z76" s="75">
        <v>5</v>
      </c>
      <c r="AA76" s="76">
        <v>1</v>
      </c>
      <c r="AB76" s="77">
        <v>8</v>
      </c>
      <c r="AC76" s="78"/>
      <c r="AD76" s="73"/>
      <c r="AE76" s="74"/>
      <c r="AF76" s="75"/>
      <c r="BE76" s="73">
        <v>6</v>
      </c>
      <c r="BF76" s="74"/>
      <c r="BG76" s="75">
        <v>2</v>
      </c>
      <c r="BH76" s="76"/>
      <c r="BI76" s="77">
        <v>9</v>
      </c>
      <c r="BJ76" s="78"/>
      <c r="BK76" s="73"/>
      <c r="BL76" s="74"/>
      <c r="BM76" s="75"/>
    </row>
    <row r="77" spans="24:65" ht="46.8" thickBot="1" x14ac:dyDescent="0.35">
      <c r="X77" s="79"/>
      <c r="Y77" s="80">
        <v>1</v>
      </c>
      <c r="Z77" s="81">
        <v>2</v>
      </c>
      <c r="AA77" s="82"/>
      <c r="AB77" s="83">
        <v>4</v>
      </c>
      <c r="AC77" s="84"/>
      <c r="AD77" s="79"/>
      <c r="AE77" s="80"/>
      <c r="AF77" s="81">
        <v>7</v>
      </c>
      <c r="BE77" s="79"/>
      <c r="BF77" s="80"/>
      <c r="BG77" s="81"/>
      <c r="BH77" s="82">
        <v>7</v>
      </c>
      <c r="BI77" s="83"/>
      <c r="BJ77" s="84"/>
      <c r="BK77" s="79">
        <v>4</v>
      </c>
      <c r="BL77" s="80">
        <v>1</v>
      </c>
      <c r="BM77" s="81"/>
    </row>
    <row r="80" spans="24:65" ht="15" thickBot="1" x14ac:dyDescent="0.35"/>
    <row r="81" spans="57:65" ht="33.6" x14ac:dyDescent="0.65">
      <c r="BE81" s="339" t="s">
        <v>24</v>
      </c>
      <c r="BF81" s="340"/>
      <c r="BG81" s="340"/>
      <c r="BH81" s="340"/>
      <c r="BI81" s="340"/>
      <c r="BJ81" s="340"/>
      <c r="BK81" s="340"/>
      <c r="BL81" s="340"/>
      <c r="BM81" s="339"/>
    </row>
    <row r="82" spans="57:65" ht="28.8" thickBot="1" x14ac:dyDescent="0.6">
      <c r="BE82" s="44" t="s">
        <v>23</v>
      </c>
      <c r="BF82" s="44" t="s">
        <v>20</v>
      </c>
      <c r="BG82" s="44" t="s">
        <v>31</v>
      </c>
      <c r="BH82" s="44" t="s">
        <v>25</v>
      </c>
      <c r="BI82" s="44" t="s">
        <v>26</v>
      </c>
      <c r="BJ82" s="44" t="s">
        <v>27</v>
      </c>
      <c r="BK82" s="44" t="s">
        <v>28</v>
      </c>
      <c r="BL82" s="44" t="s">
        <v>29</v>
      </c>
      <c r="BM82" s="44" t="s">
        <v>30</v>
      </c>
    </row>
    <row r="83" spans="57:65" ht="46.2" x14ac:dyDescent="0.3">
      <c r="BE83" s="67">
        <v>5</v>
      </c>
      <c r="BF83" s="68">
        <v>9</v>
      </c>
      <c r="BG83" s="69"/>
      <c r="BH83" s="70">
        <v>7</v>
      </c>
      <c r="BI83" s="71"/>
      <c r="BJ83" s="72"/>
      <c r="BK83" s="67"/>
      <c r="BL83" s="68">
        <v>2</v>
      </c>
      <c r="BM83" s="69"/>
    </row>
    <row r="84" spans="57:65" ht="46.2" x14ac:dyDescent="0.3">
      <c r="BE84" s="73">
        <v>7</v>
      </c>
      <c r="BF84" s="74"/>
      <c r="BG84" s="75"/>
      <c r="BH84" s="76"/>
      <c r="BI84" s="77">
        <v>2</v>
      </c>
      <c r="BJ84" s="78">
        <v>8</v>
      </c>
      <c r="BK84" s="73"/>
      <c r="BL84" s="74">
        <v>5</v>
      </c>
      <c r="BM84" s="75"/>
    </row>
    <row r="85" spans="57:65" ht="46.8" thickBot="1" x14ac:dyDescent="0.35">
      <c r="BE85" s="79"/>
      <c r="BF85" s="80"/>
      <c r="BG85" s="81">
        <v>2</v>
      </c>
      <c r="BH85" s="82">
        <v>5</v>
      </c>
      <c r="BI85" s="83">
        <v>1</v>
      </c>
      <c r="BJ85" s="84"/>
      <c r="BK85" s="79"/>
      <c r="BL85" s="80"/>
      <c r="BM85" s="81"/>
    </row>
    <row r="86" spans="57:65" ht="46.2" x14ac:dyDescent="0.3">
      <c r="BE86" s="70">
        <v>2</v>
      </c>
      <c r="BF86" s="71"/>
      <c r="BG86" s="72"/>
      <c r="BH86" s="67"/>
      <c r="BI86" s="68"/>
      <c r="BJ86" s="69"/>
      <c r="BK86" s="70"/>
      <c r="BL86" s="71"/>
      <c r="BM86" s="72"/>
    </row>
    <row r="87" spans="57:65" ht="46.2" x14ac:dyDescent="0.3">
      <c r="BE87" s="76">
        <v>8</v>
      </c>
      <c r="BF87" s="77"/>
      <c r="BG87" s="78"/>
      <c r="BH87" s="73"/>
      <c r="BI87" s="74">
        <v>5</v>
      </c>
      <c r="BJ87" s="75"/>
      <c r="BK87" s="76"/>
      <c r="BL87" s="77"/>
      <c r="BM87" s="78">
        <v>7</v>
      </c>
    </row>
    <row r="88" spans="57:65" ht="46.8" thickBot="1" x14ac:dyDescent="0.35">
      <c r="BE88" s="82"/>
      <c r="BF88" s="83"/>
      <c r="BG88" s="84"/>
      <c r="BH88" s="79"/>
      <c r="BI88" s="80"/>
      <c r="BJ88" s="81"/>
      <c r="BK88" s="82"/>
      <c r="BL88" s="83"/>
      <c r="BM88" s="84">
        <v>9</v>
      </c>
    </row>
    <row r="89" spans="57:65" ht="46.2" x14ac:dyDescent="0.3">
      <c r="BE89" s="67"/>
      <c r="BF89" s="68"/>
      <c r="BG89" s="69"/>
      <c r="BH89" s="70"/>
      <c r="BI89" s="71">
        <v>4</v>
      </c>
      <c r="BJ89" s="72">
        <v>9</v>
      </c>
      <c r="BK89" s="67">
        <v>6</v>
      </c>
      <c r="BL89" s="68"/>
      <c r="BM89" s="69"/>
    </row>
    <row r="90" spans="57:65" ht="46.2" x14ac:dyDescent="0.3">
      <c r="BE90" s="73"/>
      <c r="BF90" s="74">
        <v>8</v>
      </c>
      <c r="BG90" s="75"/>
      <c r="BH90" s="76">
        <v>2</v>
      </c>
      <c r="BI90" s="77">
        <v>7</v>
      </c>
      <c r="BJ90" s="78"/>
      <c r="BK90" s="73"/>
      <c r="BL90" s="74"/>
      <c r="BM90" s="75">
        <v>3</v>
      </c>
    </row>
    <row r="91" spans="57:65" ht="46.8" thickBot="1" x14ac:dyDescent="0.35">
      <c r="BE91" s="79"/>
      <c r="BF91" s="80">
        <v>3</v>
      </c>
      <c r="BG91" s="81"/>
      <c r="BH91" s="82"/>
      <c r="BI91" s="83"/>
      <c r="BJ91" s="84">
        <v>5</v>
      </c>
      <c r="BK91" s="79"/>
      <c r="BL91" s="80">
        <v>9</v>
      </c>
      <c r="BM91" s="81">
        <v>2</v>
      </c>
    </row>
    <row r="95" spans="57:65" ht="15" thickBot="1" x14ac:dyDescent="0.35"/>
    <row r="96" spans="57:65" ht="33.6" x14ac:dyDescent="0.65">
      <c r="BE96" s="339" t="s">
        <v>24</v>
      </c>
      <c r="BF96" s="340"/>
      <c r="BG96" s="340"/>
      <c r="BH96" s="340"/>
      <c r="BI96" s="340"/>
      <c r="BJ96" s="340"/>
      <c r="BK96" s="340"/>
      <c r="BL96" s="340"/>
      <c r="BM96" s="339"/>
    </row>
    <row r="97" spans="57:65" ht="28.8" thickBot="1" x14ac:dyDescent="0.6">
      <c r="BE97" s="44" t="s">
        <v>23</v>
      </c>
      <c r="BF97" s="44" t="s">
        <v>20</v>
      </c>
      <c r="BG97" s="44" t="s">
        <v>31</v>
      </c>
      <c r="BH97" s="44" t="s">
        <v>25</v>
      </c>
      <c r="BI97" s="44" t="s">
        <v>26</v>
      </c>
      <c r="BJ97" s="44" t="s">
        <v>27</v>
      </c>
      <c r="BK97" s="44" t="s">
        <v>28</v>
      </c>
      <c r="BL97" s="44" t="s">
        <v>29</v>
      </c>
      <c r="BM97" s="44" t="s">
        <v>30</v>
      </c>
    </row>
    <row r="98" spans="57:65" ht="46.2" x14ac:dyDescent="0.3">
      <c r="BE98" s="67">
        <v>7</v>
      </c>
      <c r="BF98" s="67"/>
      <c r="BG98" s="69"/>
      <c r="BH98" s="70"/>
      <c r="BI98" s="71">
        <v>3</v>
      </c>
      <c r="BJ98" s="72">
        <v>6</v>
      </c>
      <c r="BK98" s="67"/>
      <c r="BL98" s="258"/>
      <c r="BM98" s="69">
        <v>4</v>
      </c>
    </row>
    <row r="99" spans="57:65" ht="46.2" x14ac:dyDescent="0.3">
      <c r="BE99" s="255"/>
      <c r="BF99" s="74"/>
      <c r="BG99" s="263"/>
      <c r="BH99" s="76"/>
      <c r="BI99" s="77">
        <v>2</v>
      </c>
      <c r="BJ99" s="78">
        <v>4</v>
      </c>
      <c r="BK99" s="73">
        <v>9</v>
      </c>
      <c r="BL99" s="74"/>
      <c r="BM99" s="75"/>
    </row>
    <row r="100" spans="57:65" ht="46.8" thickBot="1" x14ac:dyDescent="0.35">
      <c r="BE100" s="79"/>
      <c r="BF100" s="80">
        <v>2</v>
      </c>
      <c r="BG100" s="81"/>
      <c r="BH100" s="82"/>
      <c r="BI100" s="83"/>
      <c r="BJ100" s="266"/>
      <c r="BK100" s="79"/>
      <c r="BL100" s="80"/>
      <c r="BM100" s="81"/>
    </row>
    <row r="101" spans="57:65" ht="46.2" x14ac:dyDescent="0.3">
      <c r="BE101" s="70"/>
      <c r="BF101" s="71"/>
      <c r="BG101" s="72"/>
      <c r="BH101" s="67"/>
      <c r="BI101" s="68"/>
      <c r="BJ101" s="69"/>
      <c r="BK101" s="70"/>
      <c r="BL101" s="71">
        <v>8</v>
      </c>
      <c r="BM101" s="72">
        <v>7</v>
      </c>
    </row>
    <row r="102" spans="57:65" ht="46.2" x14ac:dyDescent="0.3">
      <c r="BE102" s="76">
        <v>9</v>
      </c>
      <c r="BF102" s="77">
        <v>1</v>
      </c>
      <c r="BG102" s="78"/>
      <c r="BH102" s="73"/>
      <c r="BI102" s="74">
        <v>5</v>
      </c>
      <c r="BJ102" s="75"/>
      <c r="BK102" s="76"/>
      <c r="BL102" s="77">
        <v>4</v>
      </c>
      <c r="BM102" s="78">
        <v>3</v>
      </c>
    </row>
    <row r="103" spans="57:65" ht="46.8" thickBot="1" x14ac:dyDescent="0.35">
      <c r="BE103" s="82">
        <v>2</v>
      </c>
      <c r="BF103" s="83">
        <v>6</v>
      </c>
      <c r="BG103" s="84"/>
      <c r="BH103" s="79"/>
      <c r="BI103" s="80"/>
      <c r="BJ103" s="81"/>
      <c r="BK103" s="82"/>
      <c r="BL103" s="83"/>
      <c r="BM103" s="84"/>
    </row>
    <row r="104" spans="57:65" ht="46.2" x14ac:dyDescent="0.3">
      <c r="BE104" s="67"/>
      <c r="BF104" s="68"/>
      <c r="BG104" s="262"/>
      <c r="BH104" s="70"/>
      <c r="BI104" s="71"/>
      <c r="BJ104" s="72"/>
      <c r="BK104" s="67"/>
      <c r="BL104" s="68">
        <v>9</v>
      </c>
      <c r="BM104" s="69"/>
    </row>
    <row r="105" spans="57:65" ht="46.2" x14ac:dyDescent="0.3">
      <c r="BE105" s="73"/>
      <c r="BF105" s="74"/>
      <c r="BG105" s="75">
        <v>3</v>
      </c>
      <c r="BH105" s="76"/>
      <c r="BI105" s="77">
        <v>1</v>
      </c>
      <c r="BJ105" s="78">
        <v>5</v>
      </c>
      <c r="BK105" s="73"/>
      <c r="BL105" s="74"/>
      <c r="BM105" s="263"/>
    </row>
    <row r="106" spans="57:65" ht="46.8" thickBot="1" x14ac:dyDescent="0.35">
      <c r="BE106" s="79">
        <v>4</v>
      </c>
      <c r="BF106" s="80"/>
      <c r="BG106" s="81"/>
      <c r="BH106" s="82"/>
      <c r="BI106" s="83">
        <v>8</v>
      </c>
      <c r="BJ106" s="84">
        <v>6</v>
      </c>
      <c r="BK106" s="268"/>
      <c r="BL106" s="80"/>
      <c r="BM106" s="81">
        <v>1</v>
      </c>
    </row>
    <row r="109" spans="57:65" x14ac:dyDescent="0.3">
      <c r="BE109" t="s">
        <v>231</v>
      </c>
    </row>
    <row r="110" spans="57:65" ht="15" thickBot="1" x14ac:dyDescent="0.35"/>
    <row r="111" spans="57:65" ht="33.6" x14ac:dyDescent="0.65">
      <c r="BE111" s="339" t="s">
        <v>24</v>
      </c>
      <c r="BF111" s="340"/>
      <c r="BG111" s="340"/>
      <c r="BH111" s="340"/>
      <c r="BI111" s="340"/>
      <c r="BJ111" s="340"/>
      <c r="BK111" s="340"/>
      <c r="BL111" s="340"/>
      <c r="BM111" s="339"/>
    </row>
    <row r="112" spans="57:65" ht="28.8" thickBot="1" x14ac:dyDescent="0.6">
      <c r="BE112" s="44" t="s">
        <v>23</v>
      </c>
      <c r="BF112" s="44" t="s">
        <v>20</v>
      </c>
      <c r="BG112" s="44" t="s">
        <v>31</v>
      </c>
      <c r="BH112" s="44" t="s">
        <v>25</v>
      </c>
      <c r="BI112" s="44" t="s">
        <v>26</v>
      </c>
      <c r="BJ112" s="44" t="s">
        <v>27</v>
      </c>
      <c r="BK112" s="44" t="s">
        <v>28</v>
      </c>
      <c r="BL112" s="44" t="s">
        <v>29</v>
      </c>
      <c r="BM112" s="44" t="s">
        <v>30</v>
      </c>
    </row>
    <row r="113" spans="57:65" ht="46.2" x14ac:dyDescent="0.3">
      <c r="BE113" s="284">
        <v>7</v>
      </c>
      <c r="BF113" s="284"/>
      <c r="BG113" s="285">
        <v>2</v>
      </c>
      <c r="BH113" s="286">
        <v>4</v>
      </c>
      <c r="BI113" s="287">
        <v>1</v>
      </c>
      <c r="BJ113" s="288"/>
      <c r="BK113" s="284">
        <v>3</v>
      </c>
      <c r="BL113" s="289"/>
      <c r="BM113" s="285"/>
    </row>
    <row r="114" spans="57:65" ht="46.2" x14ac:dyDescent="0.3">
      <c r="BE114" s="290"/>
      <c r="BF114" s="291"/>
      <c r="BG114" s="292">
        <v>6</v>
      </c>
      <c r="BH114" s="293">
        <v>7</v>
      </c>
      <c r="BI114" s="294"/>
      <c r="BJ114" s="295">
        <v>9</v>
      </c>
      <c r="BK114" s="290"/>
      <c r="BL114" s="291"/>
      <c r="BM114" s="292"/>
    </row>
    <row r="115" spans="57:65" ht="46.8" thickBot="1" x14ac:dyDescent="0.35">
      <c r="BE115" s="296"/>
      <c r="BF115" s="297">
        <v>3</v>
      </c>
      <c r="BG115" s="298"/>
      <c r="BH115" s="299"/>
      <c r="BI115" s="300">
        <v>8</v>
      </c>
      <c r="BJ115" s="301"/>
      <c r="BK115" s="296"/>
      <c r="BL115" s="297"/>
      <c r="BM115" s="298"/>
    </row>
    <row r="116" spans="57:65" ht="46.2" x14ac:dyDescent="0.3">
      <c r="BE116" s="286"/>
      <c r="BF116" s="287"/>
      <c r="BG116" s="288">
        <v>4</v>
      </c>
      <c r="BH116" s="284"/>
      <c r="BI116" s="289">
        <v>6</v>
      </c>
      <c r="BJ116" s="285"/>
      <c r="BK116" s="286"/>
      <c r="BL116" s="287"/>
      <c r="BM116" s="288">
        <v>3</v>
      </c>
    </row>
    <row r="117" spans="57:65" ht="46.2" x14ac:dyDescent="0.3">
      <c r="BE117" s="293"/>
      <c r="BF117" s="294"/>
      <c r="BG117" s="295"/>
      <c r="BH117" s="290">
        <v>2</v>
      </c>
      <c r="BI117" s="291">
        <v>5</v>
      </c>
      <c r="BJ117" s="292">
        <v>4</v>
      </c>
      <c r="BK117" s="293"/>
      <c r="BL117" s="294"/>
      <c r="BM117" s="295"/>
    </row>
    <row r="118" spans="57:65" ht="46.8" thickBot="1" x14ac:dyDescent="0.35">
      <c r="BE118" s="299">
        <v>6</v>
      </c>
      <c r="BF118" s="300"/>
      <c r="BG118" s="301"/>
      <c r="BH118" s="296"/>
      <c r="BI118" s="297">
        <v>7</v>
      </c>
      <c r="BJ118" s="298"/>
      <c r="BK118" s="299">
        <v>4</v>
      </c>
      <c r="BL118" s="300"/>
      <c r="BM118" s="301"/>
    </row>
    <row r="119" spans="57:65" ht="46.2" x14ac:dyDescent="0.3">
      <c r="BE119" s="284"/>
      <c r="BF119" s="289"/>
      <c r="BG119" s="285"/>
      <c r="BH119" s="286"/>
      <c r="BI119" s="287">
        <v>9</v>
      </c>
      <c r="BJ119" s="288"/>
      <c r="BK119" s="284"/>
      <c r="BL119" s="289">
        <v>5</v>
      </c>
      <c r="BM119" s="285"/>
    </row>
    <row r="120" spans="57:65" ht="46.2" x14ac:dyDescent="0.3">
      <c r="BE120" s="290"/>
      <c r="BF120" s="291"/>
      <c r="BG120" s="292"/>
      <c r="BH120" s="293">
        <v>3</v>
      </c>
      <c r="BI120" s="294"/>
      <c r="BJ120" s="295">
        <v>6</v>
      </c>
      <c r="BK120" s="290">
        <v>1</v>
      </c>
      <c r="BL120" s="291"/>
      <c r="BM120" s="292"/>
    </row>
    <row r="121" spans="57:65" ht="46.8" thickBot="1" x14ac:dyDescent="0.35">
      <c r="BE121" s="296"/>
      <c r="BF121" s="297"/>
      <c r="BG121" s="298">
        <v>1</v>
      </c>
      <c r="BH121" s="299"/>
      <c r="BI121" s="300">
        <v>4</v>
      </c>
      <c r="BJ121" s="301">
        <v>7</v>
      </c>
      <c r="BK121" s="296">
        <v>2</v>
      </c>
      <c r="BL121" s="297"/>
      <c r="BM121" s="298">
        <v>6</v>
      </c>
    </row>
  </sheetData>
  <mergeCells count="29">
    <mergeCell ref="BE111:BM111"/>
    <mergeCell ref="AT54:BB54"/>
    <mergeCell ref="BE81:BM81"/>
    <mergeCell ref="B28:J28"/>
    <mergeCell ref="X28:AF28"/>
    <mergeCell ref="B54:J54"/>
    <mergeCell ref="BE96:BM96"/>
    <mergeCell ref="M2:U2"/>
    <mergeCell ref="AT2:BB2"/>
    <mergeCell ref="AI41:AQ41"/>
    <mergeCell ref="B2:J2"/>
    <mergeCell ref="M15:U15"/>
    <mergeCell ref="AI2:AQ2"/>
    <mergeCell ref="B15:J15"/>
    <mergeCell ref="BR2:BZ2"/>
    <mergeCell ref="BE2:BM2"/>
    <mergeCell ref="AI15:AQ15"/>
    <mergeCell ref="X67:AF67"/>
    <mergeCell ref="BE54:BM54"/>
    <mergeCell ref="BE41:BM41"/>
    <mergeCell ref="BE28:BM28"/>
    <mergeCell ref="AT15:BB15"/>
    <mergeCell ref="BE15:BM15"/>
    <mergeCell ref="AT28:BB28"/>
    <mergeCell ref="X54:AF54"/>
    <mergeCell ref="AI28:AQ28"/>
    <mergeCell ref="X41:AF41"/>
    <mergeCell ref="BE67:BM67"/>
    <mergeCell ref="AT41:BB4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45"/>
  <sheetViews>
    <sheetView topLeftCell="A16" workbookViewId="0">
      <selection activeCell="B41" sqref="B41"/>
    </sheetView>
  </sheetViews>
  <sheetFormatPr defaultRowHeight="14.4" x14ac:dyDescent="0.3"/>
  <cols>
    <col min="5" max="5" width="109.6640625" customWidth="1"/>
    <col min="6" max="6" width="9.109375" style="185"/>
    <col min="7" max="7" width="33" customWidth="1"/>
  </cols>
  <sheetData>
    <row r="2" spans="2:5" x14ac:dyDescent="0.3">
      <c r="B2" t="s">
        <v>53</v>
      </c>
    </row>
    <row r="3" spans="2:5" ht="16.8" x14ac:dyDescent="0.3">
      <c r="B3" s="54" t="s">
        <v>54</v>
      </c>
    </row>
    <row r="4" spans="2:5" x14ac:dyDescent="0.3">
      <c r="B4" s="55" t="s">
        <v>55</v>
      </c>
    </row>
    <row r="6" spans="2:5" x14ac:dyDescent="0.3">
      <c r="B6" t="s">
        <v>56</v>
      </c>
    </row>
    <row r="7" spans="2:5" x14ac:dyDescent="0.3">
      <c r="B7" s="56" t="s">
        <v>57</v>
      </c>
    </row>
    <row r="8" spans="2:5" x14ac:dyDescent="0.3">
      <c r="B8" s="56" t="s">
        <v>58</v>
      </c>
    </row>
    <row r="10" spans="2:5" x14ac:dyDescent="0.3">
      <c r="B10" t="s">
        <v>59</v>
      </c>
    </row>
    <row r="11" spans="2:5" x14ac:dyDescent="0.3">
      <c r="B11" s="57" t="s">
        <v>60</v>
      </c>
    </row>
    <row r="12" spans="2:5" x14ac:dyDescent="0.3">
      <c r="B12" s="57" t="s">
        <v>61</v>
      </c>
    </row>
    <row r="13" spans="2:5" ht="16.8" x14ac:dyDescent="0.3">
      <c r="B13" s="54" t="s">
        <v>62</v>
      </c>
    </row>
    <row r="14" spans="2:5" ht="42" thickBot="1" x14ac:dyDescent="0.35">
      <c r="B14" s="58" t="s">
        <v>63</v>
      </c>
      <c r="C14" s="58" t="s">
        <v>64</v>
      </c>
      <c r="D14" s="58" t="s">
        <v>65</v>
      </c>
      <c r="E14" s="58" t="s">
        <v>66</v>
      </c>
    </row>
    <row r="15" spans="2:5" ht="15" thickBot="1" x14ac:dyDescent="0.35">
      <c r="B15" s="59" t="s">
        <v>67</v>
      </c>
      <c r="C15" s="60" t="s">
        <v>68</v>
      </c>
      <c r="D15" s="61" t="s">
        <v>69</v>
      </c>
      <c r="E15" s="60" t="s">
        <v>70</v>
      </c>
    </row>
    <row r="16" spans="2:5" ht="28.2" thickBot="1" x14ac:dyDescent="0.35">
      <c r="B16" s="59" t="s">
        <v>71</v>
      </c>
      <c r="C16" s="60" t="s">
        <v>68</v>
      </c>
      <c r="D16" s="61" t="s">
        <v>69</v>
      </c>
      <c r="E16" s="60" t="s">
        <v>72</v>
      </c>
    </row>
    <row r="17" spans="2:7" ht="28.2" thickBot="1" x14ac:dyDescent="0.35">
      <c r="B17" s="59" t="s">
        <v>73</v>
      </c>
      <c r="C17" s="60" t="s">
        <v>74</v>
      </c>
      <c r="D17" s="61" t="s">
        <v>69</v>
      </c>
      <c r="E17" s="60" t="s">
        <v>75</v>
      </c>
    </row>
    <row r="18" spans="2:7" ht="16.8" x14ac:dyDescent="0.3">
      <c r="B18" s="54" t="s">
        <v>54</v>
      </c>
    </row>
    <row r="19" spans="2:7" x14ac:dyDescent="0.3">
      <c r="B19" s="62" t="s">
        <v>76</v>
      </c>
    </row>
    <row r="20" spans="2:7" x14ac:dyDescent="0.3">
      <c r="B20" s="55" t="s">
        <v>77</v>
      </c>
      <c r="F20" s="185">
        <v>1</v>
      </c>
      <c r="G20" t="s">
        <v>142</v>
      </c>
    </row>
    <row r="21" spans="2:7" x14ac:dyDescent="0.3">
      <c r="F21" s="185">
        <v>1</v>
      </c>
      <c r="G21" t="s">
        <v>143</v>
      </c>
    </row>
    <row r="22" spans="2:7" x14ac:dyDescent="0.3">
      <c r="F22" s="185">
        <v>1</v>
      </c>
      <c r="G22" t="s">
        <v>144</v>
      </c>
    </row>
    <row r="23" spans="2:7" x14ac:dyDescent="0.3">
      <c r="B23" s="3" t="s">
        <v>86</v>
      </c>
      <c r="F23" s="185">
        <v>1</v>
      </c>
      <c r="G23" t="s">
        <v>145</v>
      </c>
    </row>
    <row r="24" spans="2:7" x14ac:dyDescent="0.3">
      <c r="B24" s="3" t="s">
        <v>85</v>
      </c>
      <c r="F24" s="185">
        <v>1</v>
      </c>
      <c r="G24" t="s">
        <v>146</v>
      </c>
    </row>
    <row r="25" spans="2:7" x14ac:dyDescent="0.3">
      <c r="B25" s="3" t="s">
        <v>51</v>
      </c>
      <c r="F25" s="185">
        <v>1</v>
      </c>
      <c r="G25" t="s">
        <v>147</v>
      </c>
    </row>
    <row r="26" spans="2:7" x14ac:dyDescent="0.3">
      <c r="F26" s="185">
        <v>1</v>
      </c>
      <c r="G26" t="s">
        <v>148</v>
      </c>
    </row>
    <row r="27" spans="2:7" x14ac:dyDescent="0.3">
      <c r="B27" t="s">
        <v>126</v>
      </c>
      <c r="F27" s="185">
        <v>1</v>
      </c>
      <c r="G27" t="s">
        <v>149</v>
      </c>
    </row>
    <row r="28" spans="2:7" x14ac:dyDescent="0.3">
      <c r="B28" t="s">
        <v>127</v>
      </c>
      <c r="F28" s="185">
        <v>2</v>
      </c>
      <c r="G28" t="s">
        <v>150</v>
      </c>
    </row>
    <row r="29" spans="2:7" x14ac:dyDescent="0.3">
      <c r="F29" s="185">
        <v>2</v>
      </c>
      <c r="G29" t="s">
        <v>151</v>
      </c>
    </row>
    <row r="30" spans="2:7" x14ac:dyDescent="0.3">
      <c r="B30" t="s">
        <v>128</v>
      </c>
      <c r="F30" s="185">
        <v>2</v>
      </c>
      <c r="G30" t="s">
        <v>152</v>
      </c>
    </row>
    <row r="31" spans="2:7" x14ac:dyDescent="0.3">
      <c r="B31" t="s">
        <v>129</v>
      </c>
      <c r="F31" s="185">
        <v>2</v>
      </c>
      <c r="G31" t="s">
        <v>153</v>
      </c>
    </row>
    <row r="32" spans="2:7" x14ac:dyDescent="0.3">
      <c r="F32" s="185">
        <v>2</v>
      </c>
      <c r="G32" t="s">
        <v>154</v>
      </c>
    </row>
    <row r="33" spans="2:8" x14ac:dyDescent="0.3">
      <c r="B33" t="s">
        <v>130</v>
      </c>
      <c r="F33" s="185">
        <v>2</v>
      </c>
      <c r="G33" t="s">
        <v>155</v>
      </c>
    </row>
    <row r="34" spans="2:8" x14ac:dyDescent="0.3">
      <c r="F34" s="185">
        <v>2</v>
      </c>
      <c r="G34" t="s">
        <v>156</v>
      </c>
    </row>
    <row r="35" spans="2:8" x14ac:dyDescent="0.3">
      <c r="F35" s="185">
        <v>2</v>
      </c>
      <c r="G35" t="s">
        <v>157</v>
      </c>
    </row>
    <row r="36" spans="2:8" x14ac:dyDescent="0.3">
      <c r="F36" s="185">
        <v>2</v>
      </c>
      <c r="G36" t="s">
        <v>158</v>
      </c>
    </row>
    <row r="37" spans="2:8" x14ac:dyDescent="0.3">
      <c r="F37" s="185">
        <v>2</v>
      </c>
      <c r="G37" t="s">
        <v>159</v>
      </c>
    </row>
    <row r="38" spans="2:8" x14ac:dyDescent="0.3">
      <c r="F38" s="185">
        <v>2</v>
      </c>
      <c r="G38" t="s">
        <v>160</v>
      </c>
    </row>
    <row r="39" spans="2:8" x14ac:dyDescent="0.3">
      <c r="F39" s="185">
        <v>3</v>
      </c>
      <c r="G39" t="s">
        <v>161</v>
      </c>
    </row>
    <row r="40" spans="2:8" x14ac:dyDescent="0.3">
      <c r="F40" s="185">
        <v>3</v>
      </c>
      <c r="G40" t="s">
        <v>162</v>
      </c>
    </row>
    <row r="41" spans="2:8" x14ac:dyDescent="0.3">
      <c r="F41" s="185">
        <v>3</v>
      </c>
      <c r="G41" t="s">
        <v>163</v>
      </c>
    </row>
    <row r="42" spans="2:8" x14ac:dyDescent="0.3">
      <c r="F42" s="185">
        <v>3</v>
      </c>
      <c r="G42" t="s">
        <v>164</v>
      </c>
    </row>
    <row r="43" spans="2:8" x14ac:dyDescent="0.3">
      <c r="F43" s="185">
        <v>4</v>
      </c>
      <c r="G43" t="s">
        <v>165</v>
      </c>
      <c r="H43" t="s">
        <v>168</v>
      </c>
    </row>
    <row r="44" spans="2:8" x14ac:dyDescent="0.3">
      <c r="F44" s="185">
        <v>4</v>
      </c>
      <c r="G44" t="s">
        <v>166</v>
      </c>
    </row>
    <row r="45" spans="2:8" x14ac:dyDescent="0.3">
      <c r="F45" s="185">
        <v>4</v>
      </c>
      <c r="G45" t="s">
        <v>167</v>
      </c>
    </row>
  </sheetData>
  <hyperlinks>
    <hyperlink ref="B4" r:id="rId1" display="ms-help://MS.EXCEL.DEV.14.1033/EXCEL.DEV/content/HV10331892.htm" xr:uid="{00000000-0004-0000-0300-000000000000}"/>
    <hyperlink ref="B20" r:id="rId2" display="javascript:AppendPopup(this,'xldefArray_1_1')" xr:uid="{00000000-0004-0000-0300-000001000000}"/>
  </hyperlink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E2:F4"/>
  <sheetViews>
    <sheetView workbookViewId="0">
      <selection activeCell="F5" sqref="F5"/>
    </sheetView>
  </sheetViews>
  <sheetFormatPr defaultRowHeight="14.4" x14ac:dyDescent="0.3"/>
  <sheetData>
    <row r="2" spans="5:6" x14ac:dyDescent="0.3">
      <c r="E2" s="186" t="s">
        <v>169</v>
      </c>
      <c r="F2" t="s">
        <v>224</v>
      </c>
    </row>
    <row r="3" spans="5:6" x14ac:dyDescent="0.3">
      <c r="F3" t="s">
        <v>224</v>
      </c>
    </row>
    <row r="4" spans="5:6" x14ac:dyDescent="0.3">
      <c r="F4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How to Use Sudoku Helper</vt:lpstr>
      <vt:lpstr>Sudoku</vt:lpstr>
      <vt:lpstr>Sample sheets</vt:lpstr>
      <vt:lpstr>notes</vt:lpstr>
      <vt:lpstr>tests</vt:lpstr>
      <vt:lpstr>Available</vt:lpstr>
      <vt:lpstr>ExamCellAdr</vt:lpstr>
      <vt:lpstr>MaybeGrid</vt:lpstr>
      <vt:lpstr>VisualColNum</vt:lpstr>
      <vt:lpstr>VisualRowNum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Oakey</dc:creator>
  <cp:lastModifiedBy>John Oakey</cp:lastModifiedBy>
  <dcterms:created xsi:type="dcterms:W3CDTF">2015-02-21T14:08:27Z</dcterms:created>
  <dcterms:modified xsi:type="dcterms:W3CDTF">2019-05-20T14:43:33Z</dcterms:modified>
</cp:coreProperties>
</file>